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LM\Official Documents\assets\"/>
    </mc:Choice>
  </mc:AlternateContent>
  <xr:revisionPtr revIDLastSave="0" documentId="8_{FFB37F9B-CAF1-4DEA-8683-1195D04AA562}" xr6:coauthVersionLast="47" xr6:coauthVersionMax="47" xr10:uidLastSave="{00000000-0000-0000-0000-000000000000}"/>
  <bookViews>
    <workbookView xWindow="-108" yWindow="-108" windowWidth="23256" windowHeight="12456" xr2:uid="{40914398-3A6A-4E7D-8C91-07D435A21713}"/>
  </bookViews>
  <sheets>
    <sheet name="Life Ext" sheetId="1" r:id="rId1"/>
    <sheet name="JANUS 260625" sheetId="6" r:id="rId2"/>
    <sheet name="JANUS NEXT 1" sheetId="5" r:id="rId3"/>
    <sheet name="JANUS NEXT 2" sheetId="4" r:id="rId4"/>
    <sheet name="JANUS NEXT 3" sheetId="3" r:id="rId5"/>
    <sheet name="Kossira" sheetId="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Q9" i="6"/>
  <c r="Q10" i="6"/>
  <c r="Q11" i="6"/>
  <c r="Q12" i="6"/>
  <c r="Q13" i="6"/>
  <c r="Q14" i="6"/>
  <c r="Q8" i="6"/>
  <c r="P9" i="6"/>
  <c r="P10" i="6"/>
  <c r="P11" i="6"/>
  <c r="P12" i="6"/>
  <c r="P13" i="6"/>
  <c r="P14" i="6"/>
  <c r="P8" i="6"/>
  <c r="S6" i="6"/>
  <c r="R6" i="6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" i="1"/>
  <c r="N3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6" i="1"/>
  <c r="M4" i="1"/>
  <c r="M3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3" i="1"/>
  <c r="L4" i="1"/>
  <c r="K3" i="1"/>
  <c r="K4" i="1" l="1"/>
  <c r="O4" i="1" s="1"/>
  <c r="K20" i="1"/>
  <c r="K21" i="1"/>
  <c r="K22" i="1"/>
  <c r="K23" i="1"/>
  <c r="K24" i="1"/>
  <c r="K25" i="1"/>
  <c r="O25" i="1" s="1"/>
  <c r="Q25" i="1" s="1"/>
  <c r="K26" i="1"/>
  <c r="O26" i="1" s="1"/>
  <c r="Q26" i="1" s="1"/>
  <c r="K27" i="1"/>
  <c r="K28" i="1"/>
  <c r="K29" i="1"/>
  <c r="K30" i="1"/>
  <c r="K31" i="1"/>
  <c r="K32" i="1"/>
  <c r="K33" i="1"/>
  <c r="K34" i="1"/>
  <c r="K35" i="1"/>
  <c r="K36" i="1"/>
  <c r="K37" i="1"/>
  <c r="K7" i="1"/>
  <c r="K8" i="1"/>
  <c r="K9" i="1"/>
  <c r="K10" i="1"/>
  <c r="K11" i="1"/>
  <c r="K12" i="1"/>
  <c r="K13" i="1"/>
  <c r="K14" i="1"/>
  <c r="K15" i="1"/>
  <c r="K16" i="1"/>
  <c r="K17" i="1"/>
  <c r="K18" i="1"/>
  <c r="O18" i="1" s="1"/>
  <c r="Q18" i="1" s="1"/>
  <c r="K19" i="1"/>
  <c r="O19" i="1" s="1"/>
  <c r="Q19" i="1" s="1"/>
  <c r="K6" i="1"/>
  <c r="O6" i="1" s="1"/>
  <c r="Q6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7" i="1"/>
  <c r="E8" i="1"/>
  <c r="E9" i="1"/>
  <c r="E10" i="1"/>
  <c r="E11" i="1"/>
  <c r="E12" i="1"/>
  <c r="E13" i="1"/>
  <c r="E14" i="1"/>
  <c r="E15" i="1"/>
  <c r="E16" i="1"/>
  <c r="E17" i="1"/>
  <c r="E18" i="1"/>
  <c r="E6" i="1"/>
  <c r="P6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7" i="1"/>
  <c r="F8" i="1"/>
  <c r="F9" i="1"/>
  <c r="F10" i="1"/>
  <c r="F11" i="1"/>
  <c r="F12" i="1"/>
  <c r="F13" i="1"/>
  <c r="F6" i="1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D8" i="2"/>
  <c r="E8" i="2" s="1"/>
  <c r="Q7" i="2"/>
  <c r="D7" i="2"/>
  <c r="F7" i="2" s="1"/>
  <c r="B7" i="2"/>
  <c r="E6" i="2" s="1"/>
  <c r="Q6" i="2"/>
  <c r="G27" i="1" l="1"/>
  <c r="G18" i="1"/>
  <c r="G25" i="1"/>
  <c r="G9" i="1"/>
  <c r="G32" i="1"/>
  <c r="G24" i="1"/>
  <c r="G16" i="1"/>
  <c r="G19" i="1"/>
  <c r="G34" i="1"/>
  <c r="G10" i="1"/>
  <c r="G17" i="1"/>
  <c r="G8" i="1"/>
  <c r="G31" i="1"/>
  <c r="G23" i="1"/>
  <c r="G15" i="1"/>
  <c r="G33" i="1"/>
  <c r="G7" i="1"/>
  <c r="G30" i="1"/>
  <c r="G22" i="1"/>
  <c r="G14" i="1"/>
  <c r="G12" i="1"/>
  <c r="G11" i="1"/>
  <c r="G6" i="1"/>
  <c r="G29" i="1"/>
  <c r="G35" i="1"/>
  <c r="G26" i="1"/>
  <c r="G37" i="1"/>
  <c r="G21" i="1"/>
  <c r="G13" i="1"/>
  <c r="G36" i="1"/>
  <c r="G28" i="1"/>
  <c r="G20" i="1"/>
  <c r="O11" i="1"/>
  <c r="Q11" i="1" s="1"/>
  <c r="O10" i="1"/>
  <c r="Q10" i="1" s="1"/>
  <c r="O33" i="1"/>
  <c r="Q33" i="1" s="1"/>
  <c r="O17" i="1"/>
  <c r="Q17" i="1" s="1"/>
  <c r="O9" i="1"/>
  <c r="Q9" i="1" s="1"/>
  <c r="O32" i="1"/>
  <c r="Q32" i="1" s="1"/>
  <c r="O24" i="1"/>
  <c r="Q24" i="1" s="1"/>
  <c r="O15" i="1"/>
  <c r="Q15" i="1" s="1"/>
  <c r="O7" i="1"/>
  <c r="Q7" i="1" s="1"/>
  <c r="O30" i="1"/>
  <c r="Q30" i="1" s="1"/>
  <c r="O22" i="1"/>
  <c r="Q22" i="1" s="1"/>
  <c r="O8" i="1"/>
  <c r="Q8" i="1" s="1"/>
  <c r="O14" i="1"/>
  <c r="Q14" i="1" s="1"/>
  <c r="O37" i="1"/>
  <c r="Q37" i="1" s="1"/>
  <c r="O29" i="1"/>
  <c r="Q29" i="1" s="1"/>
  <c r="O21" i="1"/>
  <c r="Q21" i="1" s="1"/>
  <c r="O34" i="1"/>
  <c r="Q34" i="1" s="1"/>
  <c r="O16" i="1"/>
  <c r="Q16" i="1" s="1"/>
  <c r="O23" i="1"/>
  <c r="Q23" i="1" s="1"/>
  <c r="O13" i="1"/>
  <c r="Q13" i="1" s="1"/>
  <c r="O36" i="1"/>
  <c r="Q36" i="1" s="1"/>
  <c r="O28" i="1"/>
  <c r="Q28" i="1" s="1"/>
  <c r="O20" i="1"/>
  <c r="Q20" i="1" s="1"/>
  <c r="O31" i="1"/>
  <c r="Q31" i="1" s="1"/>
  <c r="O12" i="1"/>
  <c r="Q12" i="1" s="1"/>
  <c r="O35" i="1"/>
  <c r="Q35" i="1" s="1"/>
  <c r="O27" i="1"/>
  <c r="Q27" i="1" s="1"/>
  <c r="F8" i="2"/>
  <c r="G8" i="2" s="1"/>
  <c r="H8" i="2" s="1" a="1"/>
  <c r="H8" i="2" s="1"/>
  <c r="D9" i="2"/>
  <c r="E7" i="2"/>
  <c r="G7" i="2" s="1"/>
  <c r="H7" i="2" s="1" a="1"/>
  <c r="H7" i="2" s="1"/>
  <c r="F6" i="2"/>
  <c r="G6" i="2" s="1"/>
  <c r="H6" i="2" s="1" a="1"/>
  <c r="H6" i="2" s="1"/>
  <c r="P39" i="1" l="1"/>
  <c r="P36" i="1"/>
  <c r="P14" i="1"/>
  <c r="P9" i="1"/>
  <c r="P27" i="1"/>
  <c r="P13" i="1"/>
  <c r="P8" i="1"/>
  <c r="P17" i="1"/>
  <c r="P35" i="1"/>
  <c r="P23" i="1"/>
  <c r="P22" i="1"/>
  <c r="P25" i="1"/>
  <c r="P12" i="1"/>
  <c r="P16" i="1"/>
  <c r="P30" i="1"/>
  <c r="P33" i="1"/>
  <c r="P31" i="1"/>
  <c r="P34" i="1"/>
  <c r="P7" i="1"/>
  <c r="P10" i="1"/>
  <c r="P19" i="1"/>
  <c r="P21" i="1"/>
  <c r="P15" i="1"/>
  <c r="P18" i="1"/>
  <c r="P20" i="1"/>
  <c r="P29" i="1"/>
  <c r="P24" i="1"/>
  <c r="P26" i="1"/>
  <c r="P28" i="1"/>
  <c r="P37" i="1"/>
  <c r="P32" i="1"/>
  <c r="P11" i="1"/>
  <c r="D10" i="2"/>
  <c r="E9" i="2"/>
  <c r="F9" i="2"/>
  <c r="G4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P38" i="1" l="1"/>
  <c r="H6" i="1"/>
  <c r="D11" i="2"/>
  <c r="F10" i="2"/>
  <c r="E10" i="2"/>
  <c r="G10" i="2" s="1"/>
  <c r="H10" i="2" s="1" a="1"/>
  <c r="H10" i="2" s="1"/>
  <c r="G9" i="2"/>
  <c r="H9" i="2" s="1" a="1"/>
  <c r="H9" i="2" s="1"/>
  <c r="H37" i="1"/>
  <c r="H39" i="1"/>
  <c r="E11" i="2" l="1"/>
  <c r="D12" i="2"/>
  <c r="F11" i="2"/>
  <c r="H19" i="1"/>
  <c r="H22" i="1"/>
  <c r="H23" i="1"/>
  <c r="H25" i="1"/>
  <c r="H8" i="1"/>
  <c r="H35" i="1"/>
  <c r="H21" i="1"/>
  <c r="H10" i="1"/>
  <c r="H20" i="1"/>
  <c r="H7" i="1"/>
  <c r="H9" i="1"/>
  <c r="H36" i="1"/>
  <c r="H11" i="1"/>
  <c r="H15" i="1"/>
  <c r="H27" i="1"/>
  <c r="H31" i="1"/>
  <c r="H33" i="1"/>
  <c r="H30" i="1"/>
  <c r="H29" i="1"/>
  <c r="H17" i="1"/>
  <c r="H13" i="1"/>
  <c r="H16" i="1"/>
  <c r="H18" i="1"/>
  <c r="H12" i="1"/>
  <c r="H14" i="1"/>
  <c r="H24" i="1"/>
  <c r="H26" i="1"/>
  <c r="H32" i="1"/>
  <c r="H34" i="1"/>
  <c r="H28" i="1"/>
  <c r="F12" i="2" l="1"/>
  <c r="E12" i="2"/>
  <c r="G12" i="2" s="1"/>
  <c r="H12" i="2" s="1" a="1"/>
  <c r="H12" i="2" s="1"/>
  <c r="D13" i="2"/>
  <c r="G11" i="2"/>
  <c r="H11" i="2" s="1" a="1"/>
  <c r="H11" i="2" s="1"/>
  <c r="H38" i="1"/>
  <c r="B5" i="1" s="1"/>
  <c r="B6" i="1" l="1"/>
  <c r="R29" i="1" s="1"/>
  <c r="S29" i="1" s="1"/>
  <c r="D14" i="2"/>
  <c r="F13" i="2"/>
  <c r="E13" i="2"/>
  <c r="I37" i="1"/>
  <c r="J37" i="1" s="1"/>
  <c r="I16" i="1"/>
  <c r="J16" i="1" s="1"/>
  <c r="I9" i="1"/>
  <c r="J9" i="1" s="1"/>
  <c r="I13" i="1"/>
  <c r="J13" i="1" s="1"/>
  <c r="I23" i="1"/>
  <c r="J23" i="1" s="1"/>
  <c r="I20" i="1"/>
  <c r="J20" i="1" s="1"/>
  <c r="I26" i="1"/>
  <c r="J26" i="1" s="1"/>
  <c r="I34" i="1"/>
  <c r="J34" i="1" s="1"/>
  <c r="I28" i="1"/>
  <c r="J28" i="1" s="1"/>
  <c r="I7" i="1"/>
  <c r="J7" i="1" s="1"/>
  <c r="I14" i="1"/>
  <c r="J14" i="1" s="1"/>
  <c r="I11" i="1"/>
  <c r="J11" i="1" s="1"/>
  <c r="I31" i="1"/>
  <c r="J31" i="1" s="1"/>
  <c r="I27" i="1"/>
  <c r="J27" i="1" s="1"/>
  <c r="I12" i="1"/>
  <c r="J12" i="1" s="1"/>
  <c r="I32" i="1"/>
  <c r="J32" i="1" s="1"/>
  <c r="I30" i="1"/>
  <c r="J30" i="1" s="1"/>
  <c r="I18" i="1"/>
  <c r="J18" i="1" s="1"/>
  <c r="I22" i="1"/>
  <c r="J22" i="1" s="1"/>
  <c r="I19" i="1"/>
  <c r="J19" i="1" s="1"/>
  <c r="I24" i="1"/>
  <c r="J24" i="1" s="1"/>
  <c r="I36" i="1"/>
  <c r="J36" i="1" s="1"/>
  <c r="I33" i="1"/>
  <c r="J33" i="1" s="1"/>
  <c r="I8" i="1"/>
  <c r="J8" i="1" s="1"/>
  <c r="I35" i="1"/>
  <c r="J35" i="1" s="1"/>
  <c r="I10" i="1"/>
  <c r="J10" i="1" s="1"/>
  <c r="I21" i="1"/>
  <c r="J21" i="1" s="1"/>
  <c r="I17" i="1"/>
  <c r="J17" i="1" s="1"/>
  <c r="I29" i="1"/>
  <c r="J29" i="1" s="1"/>
  <c r="I15" i="1"/>
  <c r="J15" i="1" s="1"/>
  <c r="I25" i="1"/>
  <c r="J25" i="1" s="1"/>
  <c r="I6" i="1"/>
  <c r="J6" i="1" s="1"/>
  <c r="R22" i="1" l="1"/>
  <c r="S22" i="1" s="1"/>
  <c r="R25" i="1"/>
  <c r="S25" i="1" s="1"/>
  <c r="R13" i="1"/>
  <c r="S13" i="1" s="1"/>
  <c r="R32" i="1"/>
  <c r="S32" i="1" s="1"/>
  <c r="R21" i="1"/>
  <c r="S21" i="1" s="1"/>
  <c r="R8" i="1"/>
  <c r="S8" i="1" s="1"/>
  <c r="R6" i="1"/>
  <c r="R15" i="1"/>
  <c r="S15" i="1" s="1"/>
  <c r="R18" i="1"/>
  <c r="S18" i="1" s="1"/>
  <c r="R11" i="1"/>
  <c r="S11" i="1" s="1"/>
  <c r="R24" i="1"/>
  <c r="S24" i="1" s="1"/>
  <c r="R30" i="1"/>
  <c r="S30" i="1" s="1"/>
  <c r="R9" i="1"/>
  <c r="S9" i="1" s="1"/>
  <c r="R7" i="1"/>
  <c r="S7" i="1" s="1"/>
  <c r="R31" i="1"/>
  <c r="S31" i="1" s="1"/>
  <c r="R27" i="1"/>
  <c r="S27" i="1" s="1"/>
  <c r="R20" i="1"/>
  <c r="S20" i="1" s="1"/>
  <c r="R12" i="1"/>
  <c r="S12" i="1" s="1"/>
  <c r="R23" i="1"/>
  <c r="S23" i="1" s="1"/>
  <c r="R36" i="1"/>
  <c r="S36" i="1" s="1"/>
  <c r="R34" i="1"/>
  <c r="S34" i="1" s="1"/>
  <c r="R19" i="1"/>
  <c r="S19" i="1" s="1"/>
  <c r="R10" i="1"/>
  <c r="S10" i="1" s="1"/>
  <c r="R14" i="1"/>
  <c r="S14" i="1" s="1"/>
  <c r="R26" i="1"/>
  <c r="S26" i="1" s="1"/>
  <c r="R33" i="1"/>
  <c r="S33" i="1" s="1"/>
  <c r="R28" i="1"/>
  <c r="S28" i="1" s="1"/>
  <c r="R35" i="1"/>
  <c r="S35" i="1" s="1"/>
  <c r="R16" i="1"/>
  <c r="S16" i="1" s="1"/>
  <c r="R37" i="1"/>
  <c r="S37" i="1" s="1"/>
  <c r="R17" i="1"/>
  <c r="S17" i="1" s="1"/>
  <c r="G13" i="2"/>
  <c r="H13" i="2" s="1" a="1"/>
  <c r="H13" i="2" s="1"/>
  <c r="F14" i="2"/>
  <c r="E14" i="2"/>
  <c r="G14" i="2" s="1"/>
  <c r="H14" i="2" s="1" a="1"/>
  <c r="H14" i="2" s="1"/>
  <c r="D15" i="2"/>
  <c r="S6" i="1" l="1"/>
  <c r="F1" i="1" s="1"/>
  <c r="D16" i="2"/>
  <c r="E15" i="2"/>
  <c r="F15" i="2"/>
  <c r="G15" i="2" l="1"/>
  <c r="H15" i="2" s="1" a="1"/>
  <c r="H15" i="2" s="1"/>
  <c r="E16" i="2"/>
  <c r="F16" i="2"/>
  <c r="D17" i="2"/>
  <c r="D18" i="2" l="1"/>
  <c r="F17" i="2"/>
  <c r="E17" i="2"/>
  <c r="G17" i="2" s="1"/>
  <c r="H17" i="2" s="1" a="1"/>
  <c r="H17" i="2" s="1"/>
  <c r="G16" i="2"/>
  <c r="H16" i="2" s="1" a="1"/>
  <c r="H16" i="2" s="1"/>
  <c r="D19" i="2" l="1"/>
  <c r="F18" i="2"/>
  <c r="E18" i="2"/>
  <c r="G18" i="2" s="1"/>
  <c r="H18" i="2" s="1" a="1"/>
  <c r="H18" i="2" s="1"/>
  <c r="E19" i="2" l="1"/>
  <c r="D20" i="2"/>
  <c r="F19" i="2"/>
  <c r="F20" i="2" l="1"/>
  <c r="E20" i="2"/>
  <c r="D21" i="2"/>
  <c r="G19" i="2"/>
  <c r="H19" i="2" s="1" a="1"/>
  <c r="H19" i="2" s="1"/>
  <c r="F21" i="2" l="1"/>
  <c r="E21" i="2"/>
  <c r="G21" i="2" s="1"/>
  <c r="H21" i="2" s="1" a="1"/>
  <c r="H21" i="2" s="1"/>
  <c r="D22" i="2"/>
  <c r="G20" i="2"/>
  <c r="H20" i="2" s="1" a="1"/>
  <c r="H20" i="2" s="1"/>
  <c r="F22" i="2" l="1"/>
  <c r="D23" i="2"/>
  <c r="E22" i="2"/>
  <c r="G22" i="2" s="1"/>
  <c r="H22" i="2" s="1" a="1"/>
  <c r="H22" i="2" s="1"/>
  <c r="F23" i="2" l="1"/>
  <c r="E23" i="2"/>
  <c r="G23" i="2" s="1"/>
  <c r="H23" i="2" s="1" a="1"/>
  <c r="H23" i="2" s="1"/>
  <c r="D24" i="2"/>
  <c r="E24" i="2" l="1"/>
  <c r="F24" i="2"/>
  <c r="D25" i="2"/>
  <c r="D26" i="2" l="1"/>
  <c r="F25" i="2"/>
  <c r="E25" i="2"/>
  <c r="G25" i="2" s="1"/>
  <c r="H25" i="2" s="1" a="1"/>
  <c r="H25" i="2" s="1"/>
  <c r="G24" i="2"/>
  <c r="H24" i="2" s="1" a="1"/>
  <c r="H24" i="2" s="1"/>
  <c r="D27" i="2" l="1"/>
  <c r="F26" i="2"/>
  <c r="E26" i="2"/>
  <c r="G26" i="2" s="1"/>
  <c r="H26" i="2" s="1" a="1"/>
  <c r="H26" i="2" s="1"/>
  <c r="E27" i="2" l="1"/>
  <c r="D28" i="2"/>
  <c r="F27" i="2"/>
  <c r="F28" i="2" l="1"/>
  <c r="D29" i="2"/>
  <c r="E28" i="2"/>
  <c r="G28" i="2" s="1"/>
  <c r="H28" i="2" s="1" a="1"/>
  <c r="H28" i="2" s="1"/>
  <c r="G27" i="2"/>
  <c r="H27" i="2" s="1" a="1"/>
  <c r="H27" i="2" s="1"/>
  <c r="F29" i="2" l="1"/>
  <c r="E29" i="2"/>
  <c r="D30" i="2"/>
  <c r="D31" i="2" l="1"/>
  <c r="F30" i="2"/>
  <c r="E30" i="2"/>
  <c r="G30" i="2" s="1"/>
  <c r="H30" i="2" s="1" a="1"/>
  <c r="H30" i="2" s="1"/>
  <c r="G29" i="2"/>
  <c r="H29" i="2" s="1" a="1"/>
  <c r="H29" i="2" s="1"/>
  <c r="E31" i="2" l="1"/>
  <c r="D32" i="2"/>
  <c r="F31" i="2"/>
  <c r="F32" i="2" l="1"/>
  <c r="E32" i="2"/>
  <c r="D33" i="2"/>
  <c r="G31" i="2"/>
  <c r="H31" i="2" s="1" a="1"/>
  <c r="H31" i="2" s="1"/>
  <c r="G32" i="2" l="1"/>
  <c r="H32" i="2" s="1" a="1"/>
  <c r="H32" i="2" s="1"/>
  <c r="F33" i="2"/>
  <c r="E33" i="2"/>
  <c r="G33" i="2" s="1"/>
  <c r="H33" i="2" s="1" a="1"/>
  <c r="H33" i="2" s="1"/>
  <c r="D34" i="2"/>
  <c r="D35" i="2" l="1"/>
  <c r="E34" i="2"/>
  <c r="G34" i="2" s="1"/>
  <c r="H34" i="2" s="1" a="1"/>
  <c r="H34" i="2" s="1"/>
  <c r="F34" i="2"/>
  <c r="E35" i="2" l="1"/>
  <c r="D36" i="2"/>
  <c r="F35" i="2"/>
  <c r="F36" i="2" l="1"/>
  <c r="E36" i="2"/>
  <c r="G36" i="2" s="1"/>
  <c r="H36" i="2" s="1" a="1"/>
  <c r="H36" i="2" s="1"/>
  <c r="D37" i="2"/>
  <c r="G35" i="2"/>
  <c r="H35" i="2" s="1" a="1"/>
  <c r="H35" i="2" s="1"/>
  <c r="F37" i="2" l="1"/>
  <c r="E37" i="2"/>
  <c r="G37" i="2" l="1"/>
  <c r="H37" i="2" s="1" a="1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<sst xmlns="http://schemas.openxmlformats.org/spreadsheetml/2006/main" count="74" uniqueCount="48">
  <si>
    <t>G load</t>
  </si>
  <si>
    <t>Occurrences</t>
  </si>
  <si>
    <t>Original picture from ICAS-82-2.8.2 fig 12</t>
  </si>
  <si>
    <t>Parallax corrected picture from ICAS-82-2.8.2 fig 12</t>
  </si>
  <si>
    <t>Curve data points have been captured using online graph reader : https://www.graphreader.com/v2. Parallax corrected picture for flight phases has been used.</t>
  </si>
  <si>
    <t>g max =</t>
  </si>
  <si>
    <t>g min =</t>
  </si>
  <si>
    <t># class =</t>
  </si>
  <si>
    <t>class unit</t>
  </si>
  <si>
    <t>class #</t>
  </si>
  <si>
    <t>g low</t>
  </si>
  <si>
    <t>g high</t>
  </si>
  <si>
    <t>g mid</t>
  </si>
  <si>
    <t>Kossira original
flight only  6000FH</t>
  </si>
  <si>
    <t>Kossira adjsuted 
to class  32 mid
flight only  6000FH</t>
  </si>
  <si>
    <t>ORIGINAL   DATA</t>
  </si>
  <si>
    <t>FH</t>
  </si>
  <si>
    <t>|n - avg Kossira|^K</t>
  </si>
  <si>
    <t>Kossira: occ * |n - avg|^K</t>
  </si>
  <si>
    <t>S/N slope = K =</t>
  </si>
  <si>
    <t>n (g)</t>
  </si>
  <si>
    <t>Damage ratio =</t>
  </si>
  <si>
    <t>avg n Kossira (g)=</t>
  </si>
  <si>
    <t>Kossira</t>
  </si>
  <si>
    <t>Glider</t>
  </si>
  <si>
    <t>flight time (hours) =</t>
  </si>
  <si>
    <t>stop time (s) =</t>
  </si>
  <si>
    <t>start time (s) =</t>
  </si>
  <si>
    <t>Class (g)</t>
  </si>
  <si>
    <t>Occurences (-)</t>
  </si>
  <si>
    <t>Total flight time (h)=</t>
  </si>
  <si>
    <t>JANUS NEXT 1</t>
  </si>
  <si>
    <t>JANUS NEXT 2</t>
  </si>
  <si>
    <t>JANUS NEXT 3</t>
  </si>
  <si>
    <t>JANUS TOTAL</t>
  </si>
  <si>
    <t>JANUS 260625</t>
  </si>
  <si>
    <t>From</t>
  </si>
  <si>
    <t>to</t>
  </si>
  <si>
    <t>s.</t>
  </si>
  <si>
    <t>Class</t>
  </si>
  <si>
    <t>(g)</t>
  </si>
  <si>
    <t>Occurences</t>
  </si>
  <si>
    <t>(-)</t>
  </si>
  <si>
    <t>|n - avg JANUS|^K</t>
  </si>
  <si>
    <t>JANUS:  occ * |n - avg|^K</t>
  </si>
  <si>
    <t>avg n JANUS (g) =</t>
  </si>
  <si>
    <t>Kossira 6000 FH</t>
  </si>
  <si>
    <t>JANUS 6000 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</si>
</sst>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000"/>
    <numFmt numFmtId="166" formatCode="0.0"/>
    <numFmt numFmtId="167" formatCode="0.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" fillId="2" borderId="0" xfId="0" applyFont="1" applyFill="1"/>
    <xf numFmtId="166" fontId="0" fillId="0" borderId="0" xfId="0" applyNumberFormat="1"/>
    <xf numFmtId="166" fontId="0" fillId="0" borderId="1" xfId="0" applyNumberFormat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2" fontId="0" fillId="3" borderId="1" xfId="0" applyNumberFormat="1" applyFill="1" applyBorder="1"/>
    <xf numFmtId="0" fontId="0" fillId="5" borderId="1" xfId="0" applyFill="1" applyBorder="1"/>
    <xf numFmtId="4" fontId="1" fillId="2" borderId="0" xfId="0" applyNumberFormat="1" applyFont="1" applyFill="1" applyAlignment="1">
      <alignment horizontal="center" vertical="center" wrapText="1"/>
    </xf>
    <xf numFmtId="166" fontId="0" fillId="3" borderId="1" xfId="0" applyNumberFormat="1" applyFill="1" applyBorder="1"/>
    <xf numFmtId="1" fontId="2" fillId="3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right"/>
    </xf>
    <xf numFmtId="0" fontId="0" fillId="0" borderId="13" xfId="0" applyBorder="1"/>
    <xf numFmtId="11" fontId="2" fillId="3" borderId="0" xfId="0" applyNumberFormat="1" applyFont="1" applyFill="1" applyAlignment="1">
      <alignment horizontal="center"/>
    </xf>
    <xf numFmtId="11" fontId="2" fillId="4" borderId="0" xfId="0" applyNumberFormat="1" applyFont="1" applyFill="1" applyAlignment="1">
      <alignment horizontal="center"/>
    </xf>
    <xf numFmtId="11" fontId="2" fillId="4" borderId="1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626866313841916E-2"/>
          <c:y val="3.3446611537574542E-2"/>
          <c:w val="0.90128296975173183"/>
          <c:h val="0.9331067769248508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'Life Ext'!$F$3</c:f>
              <c:strCache>
                <c:ptCount val="1"/>
                <c:pt idx="0">
                  <c:v>Kossira 6000 FH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'Life Ext'!$F$11:$F$33</c:f>
              <c:numCache>
                <c:formatCode>0.0</c:formatCode>
                <c:ptCount val="23"/>
                <c:pt idx="0">
                  <c:v>6.1896833511812508</c:v>
                </c:pt>
                <c:pt idx="1">
                  <c:v>46.351233672718344</c:v>
                </c:pt>
                <c:pt idx="2">
                  <c:v>281.88459796519396</c:v>
                </c:pt>
                <c:pt idx="3">
                  <c:v>1164.9943083778039</c:v>
                </c:pt>
                <c:pt idx="4">
                  <c:v>2988.816232787914</c:v>
                </c:pt>
                <c:pt idx="5">
                  <c:v>6098.5701774368081</c:v>
                </c:pt>
                <c:pt idx="6">
                  <c:v>10800.323747272461</c:v>
                </c:pt>
                <c:pt idx="7">
                  <c:v>21279.81938998336</c:v>
                </c:pt>
                <c:pt idx="8">
                  <c:v>133934.39236837826</c:v>
                </c:pt>
                <c:pt idx="9">
                  <c:v>1423065.7528670055</c:v>
                </c:pt>
                <c:pt idx="10">
                  <c:v>6624972.4118471807</c:v>
                </c:pt>
                <c:pt idx="11">
                  <c:v>6196570.7975333016</c:v>
                </c:pt>
                <c:pt idx="12">
                  <c:v>4268809.1599080963</c:v>
                </c:pt>
                <c:pt idx="13">
                  <c:v>728422.61064777104</c:v>
                </c:pt>
                <c:pt idx="14">
                  <c:v>149719.98756399861</c:v>
                </c:pt>
                <c:pt idx="15">
                  <c:v>49805.270891066604</c:v>
                </c:pt>
                <c:pt idx="16">
                  <c:v>24545.47921575599</c:v>
                </c:pt>
                <c:pt idx="17">
                  <c:v>15080.95178259328</c:v>
                </c:pt>
                <c:pt idx="18">
                  <c:v>10346.133398819569</c:v>
                </c:pt>
                <c:pt idx="19">
                  <c:v>7025.2183346788679</c:v>
                </c:pt>
                <c:pt idx="20">
                  <c:v>3133.2284668999573</c:v>
                </c:pt>
                <c:pt idx="21">
                  <c:v>449.90763888037839</c:v>
                </c:pt>
                <c:pt idx="22">
                  <c:v>32.749706636603719</c:v>
                </c:pt>
              </c:numCache>
            </c:numRef>
          </c:xVal>
          <c:yVal>
            <c:numRef>
              <c:f>'Life Ext'!$E$11:$E$33</c:f>
              <c:numCache>
                <c:formatCode>General</c:formatCode>
                <c:ptCount val="23"/>
                <c:pt idx="0">
                  <c:v>-2.28125</c:v>
                </c:pt>
                <c:pt idx="1">
                  <c:v>-1.96875</c:v>
                </c:pt>
                <c:pt idx="2">
                  <c:v>-1.65625</c:v>
                </c:pt>
                <c:pt idx="3">
                  <c:v>-1.34375</c:v>
                </c:pt>
                <c:pt idx="4">
                  <c:v>-1.03125</c:v>
                </c:pt>
                <c:pt idx="5">
                  <c:v>-0.71875</c:v>
                </c:pt>
                <c:pt idx="6">
                  <c:v>-0.40625</c:v>
                </c:pt>
                <c:pt idx="7">
                  <c:v>-9.375E-2</c:v>
                </c:pt>
                <c:pt idx="8">
                  <c:v>0.21875</c:v>
                </c:pt>
                <c:pt idx="9">
                  <c:v>0.53125</c:v>
                </c:pt>
                <c:pt idx="10">
                  <c:v>0.84375</c:v>
                </c:pt>
                <c:pt idx="11">
                  <c:v>1.15625</c:v>
                </c:pt>
                <c:pt idx="12">
                  <c:v>1.46875</c:v>
                </c:pt>
                <c:pt idx="13">
                  <c:v>1.78125</c:v>
                </c:pt>
                <c:pt idx="14">
                  <c:v>2.09375</c:v>
                </c:pt>
                <c:pt idx="15">
                  <c:v>2.40625</c:v>
                </c:pt>
                <c:pt idx="16">
                  <c:v>2.71875</c:v>
                </c:pt>
                <c:pt idx="17">
                  <c:v>3.03125</c:v>
                </c:pt>
                <c:pt idx="18">
                  <c:v>3.34375</c:v>
                </c:pt>
                <c:pt idx="19">
                  <c:v>3.65625</c:v>
                </c:pt>
                <c:pt idx="20">
                  <c:v>3.96875</c:v>
                </c:pt>
                <c:pt idx="21">
                  <c:v>4.28125</c:v>
                </c:pt>
                <c:pt idx="22">
                  <c:v>4.59375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0B-4202-9706-27FEC1A014DD}"/>
            </c:ext>
          </c:extLst>
        </c:ser>
        <c:ser>
          <c:idx val="2"/>
          <c:order val="1"/>
          <c:tx>
            <c:strRef>
              <c:f>'Life Ext'!$Q$3</c:f>
              <c:strCache>
                <c:ptCount val="1"/>
                <c:pt idx="0">
                  <c:v>JANUS 6000 FH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'Life Ext'!$Q$17:$Q$28</c:f>
              <c:numCache>
                <c:formatCode>0.0</c:formatCode>
                <c:ptCount val="12"/>
                <c:pt idx="0">
                  <c:v>352.94117647058823</c:v>
                </c:pt>
                <c:pt idx="1">
                  <c:v>7058.8235294117649</c:v>
                </c:pt>
                <c:pt idx="2">
                  <c:v>35294.117647058825</c:v>
                </c:pt>
                <c:pt idx="3">
                  <c:v>352941.17647058825</c:v>
                </c:pt>
                <c:pt idx="4">
                  <c:v>5647058.823529412</c:v>
                </c:pt>
                <c:pt idx="5">
                  <c:v>6024705.8823529417</c:v>
                </c:pt>
                <c:pt idx="6">
                  <c:v>1852941.1764705882</c:v>
                </c:pt>
                <c:pt idx="7">
                  <c:v>264705.8823529412</c:v>
                </c:pt>
                <c:pt idx="8">
                  <c:v>42352.941176470587</c:v>
                </c:pt>
                <c:pt idx="9">
                  <c:v>17647.058823529413</c:v>
                </c:pt>
                <c:pt idx="10">
                  <c:v>5294.1176470588234</c:v>
                </c:pt>
                <c:pt idx="11">
                  <c:v>529.41176470588232</c:v>
                </c:pt>
              </c:numCache>
            </c:numRef>
          </c:xVal>
          <c:yVal>
            <c:numRef>
              <c:f>'Life Ext'!$E$17:$E$28</c:f>
              <c:numCache>
                <c:formatCode>General</c:formatCode>
                <c:ptCount val="12"/>
                <c:pt idx="0">
                  <c:v>-0.40625</c:v>
                </c:pt>
                <c:pt idx="1">
                  <c:v>-9.375E-2</c:v>
                </c:pt>
                <c:pt idx="2">
                  <c:v>0.21875</c:v>
                </c:pt>
                <c:pt idx="3">
                  <c:v>0.53125</c:v>
                </c:pt>
                <c:pt idx="4">
                  <c:v>0.84375</c:v>
                </c:pt>
                <c:pt idx="5">
                  <c:v>1.15625</c:v>
                </c:pt>
                <c:pt idx="6">
                  <c:v>1.46875</c:v>
                </c:pt>
                <c:pt idx="7">
                  <c:v>1.78125</c:v>
                </c:pt>
                <c:pt idx="8">
                  <c:v>2.09375</c:v>
                </c:pt>
                <c:pt idx="9">
                  <c:v>2.40625</c:v>
                </c:pt>
                <c:pt idx="10">
                  <c:v>2.71875</c:v>
                </c:pt>
                <c:pt idx="11">
                  <c:v>3.03125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0B-4202-9706-27FEC1A01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382872"/>
        <c:axId val="370009560"/>
      </c:scatterChart>
      <c:valAx>
        <c:axId val="490382872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0009560"/>
        <c:crosses val="autoZero"/>
        <c:crossBetween val="midCat"/>
      </c:valAx>
      <c:valAx>
        <c:axId val="37000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0382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04323902487107"/>
          <c:y val="4.2631687947219159E-2"/>
          <c:w val="0.23715846872081123"/>
          <c:h val="0.3120544714519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626866313841916E-2"/>
          <c:y val="3.3446611537574542E-2"/>
          <c:w val="0.90128296975173183"/>
          <c:h val="0.93310677692485089"/>
        </c:manualLayout>
      </c:layout>
      <c:scatterChart>
        <c:scatterStyle val="lineMarker"/>
        <c:varyColors val="0"/>
        <c:ser>
          <c:idx val="0"/>
          <c:order val="0"/>
          <c:tx>
            <c:strRef>
              <c:f>Kossira!$K$3</c:f>
              <c:strCache>
                <c:ptCount val="1"/>
                <c:pt idx="0">
                  <c:v>Kossira original
flight only  6000FH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Kossira!$L$6:$L$26</c:f>
              <c:numCache>
                <c:formatCode>0.00E+00</c:formatCode>
                <c:ptCount val="21"/>
                <c:pt idx="0">
                  <c:v>1.0205</c:v>
                </c:pt>
                <c:pt idx="1">
                  <c:v>10.751899999999999</c:v>
                </c:pt>
                <c:pt idx="2">
                  <c:v>141.62289999999999</c:v>
                </c:pt>
                <c:pt idx="3">
                  <c:v>880.20609999999999</c:v>
                </c:pt>
                <c:pt idx="4">
                  <c:v>2799.6469999999999</c:v>
                </c:pt>
                <c:pt idx="5">
                  <c:v>6305.915</c:v>
                </c:pt>
                <c:pt idx="6">
                  <c:v>11593.9584</c:v>
                </c:pt>
                <c:pt idx="7">
                  <c:v>26649.7228</c:v>
                </c:pt>
                <c:pt idx="8">
                  <c:v>466407.73369999998</c:v>
                </c:pt>
                <c:pt idx="9">
                  <c:v>6663119.1878000004</c:v>
                </c:pt>
                <c:pt idx="10">
                  <c:v>6529222.3858000003</c:v>
                </c:pt>
                <c:pt idx="11">
                  <c:v>4177407.1044999999</c:v>
                </c:pt>
                <c:pt idx="12">
                  <c:v>505859.86839999998</c:v>
                </c:pt>
                <c:pt idx="13">
                  <c:v>90086.548800000004</c:v>
                </c:pt>
                <c:pt idx="14">
                  <c:v>32647.798699999999</c:v>
                </c:pt>
                <c:pt idx="15">
                  <c:v>17050.536</c:v>
                </c:pt>
                <c:pt idx="16">
                  <c:v>11132.6741</c:v>
                </c:pt>
                <c:pt idx="17">
                  <c:v>6839.3148000000001</c:v>
                </c:pt>
                <c:pt idx="18">
                  <c:v>2379.9854999999998</c:v>
                </c:pt>
                <c:pt idx="19">
                  <c:v>141.62289999999999</c:v>
                </c:pt>
                <c:pt idx="20">
                  <c:v>5.2835000000000001</c:v>
                </c:pt>
              </c:numCache>
            </c:numRef>
          </c:xVal>
          <c:yVal>
            <c:numRef>
              <c:f>Kossira!$K$6:$K$26</c:f>
              <c:numCache>
                <c:formatCode>General</c:formatCode>
                <c:ptCount val="21"/>
                <c:pt idx="0">
                  <c:v>-2.5392999999999999</c:v>
                </c:pt>
                <c:pt idx="1">
                  <c:v>-2.2021999999999999</c:v>
                </c:pt>
                <c:pt idx="2">
                  <c:v>-1.7903</c:v>
                </c:pt>
                <c:pt idx="3">
                  <c:v>-1.4345000000000001</c:v>
                </c:pt>
                <c:pt idx="4">
                  <c:v>-1.0599000000000001</c:v>
                </c:pt>
                <c:pt idx="5">
                  <c:v>-0.70409999999999995</c:v>
                </c:pt>
                <c:pt idx="6">
                  <c:v>-0.36699999999999999</c:v>
                </c:pt>
                <c:pt idx="7">
                  <c:v>7.4999999999999997E-3</c:v>
                </c:pt>
                <c:pt idx="8">
                  <c:v>0.38200000000000001</c:v>
                </c:pt>
                <c:pt idx="9">
                  <c:v>0.73780000000000001</c:v>
                </c:pt>
                <c:pt idx="10">
                  <c:v>1.1124000000000001</c:v>
                </c:pt>
                <c:pt idx="11">
                  <c:v>1.4869000000000001</c:v>
                </c:pt>
                <c:pt idx="12">
                  <c:v>1.8427</c:v>
                </c:pt>
                <c:pt idx="13">
                  <c:v>2.1985000000000001</c:v>
                </c:pt>
                <c:pt idx="14">
                  <c:v>2.5543</c:v>
                </c:pt>
                <c:pt idx="15">
                  <c:v>2.9287999999999998</c:v>
                </c:pt>
                <c:pt idx="16">
                  <c:v>3.2846000000000002</c:v>
                </c:pt>
                <c:pt idx="17">
                  <c:v>3.6779000000000002</c:v>
                </c:pt>
                <c:pt idx="18">
                  <c:v>4.0712000000000002</c:v>
                </c:pt>
                <c:pt idx="19">
                  <c:v>4.4269999999999996</c:v>
                </c:pt>
                <c:pt idx="20">
                  <c:v>4.8014999999999999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0-4E88-A86C-BAFFF93A0D71}"/>
            </c:ext>
          </c:extLst>
        </c:ser>
        <c:ser>
          <c:idx val="1"/>
          <c:order val="1"/>
          <c:tx>
            <c:strRef>
              <c:f>[1]Sheet1!$H$3</c:f>
              <c:strCache>
                <c:ptCount val="1"/>
                <c:pt idx="0">
                  <c:v>Kossira adjsuted 
to class  32 mid
flight only  6000FH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[1]Sheet1!$H$6:$H$37</c:f>
              <c:numCache>
                <c:formatCode>General</c:formatCode>
                <c:ptCount val="3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6.1896833511812508</c:v>
                </c:pt>
                <c:pt idx="6">
                  <c:v>46.351233672718344</c:v>
                </c:pt>
                <c:pt idx="7">
                  <c:v>281.88459796519396</c:v>
                </c:pt>
                <c:pt idx="8">
                  <c:v>1164.9943083778039</c:v>
                </c:pt>
                <c:pt idx="9">
                  <c:v>2988.816232787914</c:v>
                </c:pt>
                <c:pt idx="10">
                  <c:v>6098.5701774368081</c:v>
                </c:pt>
                <c:pt idx="11">
                  <c:v>10800.323747272461</c:v>
                </c:pt>
                <c:pt idx="12">
                  <c:v>21279.81938998336</c:v>
                </c:pt>
                <c:pt idx="13">
                  <c:v>133934.39236837826</c:v>
                </c:pt>
                <c:pt idx="14">
                  <c:v>1423065.7528670055</c:v>
                </c:pt>
                <c:pt idx="15">
                  <c:v>6624972.4118471807</c:v>
                </c:pt>
                <c:pt idx="16">
                  <c:v>6196570.7975333016</c:v>
                </c:pt>
                <c:pt idx="17">
                  <c:v>4268809.1599080963</c:v>
                </c:pt>
                <c:pt idx="18">
                  <c:v>728422.61064777104</c:v>
                </c:pt>
                <c:pt idx="19">
                  <c:v>149719.98756399861</c:v>
                </c:pt>
                <c:pt idx="20">
                  <c:v>49805.270891066604</c:v>
                </c:pt>
                <c:pt idx="21">
                  <c:v>24545.47921575599</c:v>
                </c:pt>
                <c:pt idx="22">
                  <c:v>15080.95178259328</c:v>
                </c:pt>
                <c:pt idx="23">
                  <c:v>10346.133398819569</c:v>
                </c:pt>
                <c:pt idx="24">
                  <c:v>7025.2183346788679</c:v>
                </c:pt>
                <c:pt idx="25">
                  <c:v>3133.2284668999573</c:v>
                </c:pt>
                <c:pt idx="26">
                  <c:v>449.90763888037839</c:v>
                </c:pt>
                <c:pt idx="27">
                  <c:v>32.749706636603719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</c:numCache>
            </c:numRef>
          </c:xVal>
          <c:yVal>
            <c:numRef>
              <c:f>[1]Sheet1!$G$6:$G$37</c:f>
              <c:numCache>
                <c:formatCode>General</c:formatCode>
                <c:ptCount val="32"/>
                <c:pt idx="0">
                  <c:v>-3.84375</c:v>
                </c:pt>
                <c:pt idx="1">
                  <c:v>-3.53125</c:v>
                </c:pt>
                <c:pt idx="2">
                  <c:v>-3.21875</c:v>
                </c:pt>
                <c:pt idx="3">
                  <c:v>-2.90625</c:v>
                </c:pt>
                <c:pt idx="4">
                  <c:v>-2.59375</c:v>
                </c:pt>
                <c:pt idx="5">
                  <c:v>-2.28125</c:v>
                </c:pt>
                <c:pt idx="6">
                  <c:v>-1.96875</c:v>
                </c:pt>
                <c:pt idx="7">
                  <c:v>-1.65625</c:v>
                </c:pt>
                <c:pt idx="8">
                  <c:v>-1.34375</c:v>
                </c:pt>
                <c:pt idx="9">
                  <c:v>-1.03125</c:v>
                </c:pt>
                <c:pt idx="10">
                  <c:v>-0.71875</c:v>
                </c:pt>
                <c:pt idx="11">
                  <c:v>-0.40625</c:v>
                </c:pt>
                <c:pt idx="12">
                  <c:v>-9.375E-2</c:v>
                </c:pt>
                <c:pt idx="13">
                  <c:v>0.21875</c:v>
                </c:pt>
                <c:pt idx="14">
                  <c:v>0.53125</c:v>
                </c:pt>
                <c:pt idx="15">
                  <c:v>0.84375</c:v>
                </c:pt>
                <c:pt idx="16">
                  <c:v>1.15625</c:v>
                </c:pt>
                <c:pt idx="17">
                  <c:v>1.46875</c:v>
                </c:pt>
                <c:pt idx="18">
                  <c:v>1.78125</c:v>
                </c:pt>
                <c:pt idx="19">
                  <c:v>2.09375</c:v>
                </c:pt>
                <c:pt idx="20">
                  <c:v>2.40625</c:v>
                </c:pt>
                <c:pt idx="21">
                  <c:v>2.71875</c:v>
                </c:pt>
                <c:pt idx="22">
                  <c:v>3.03125</c:v>
                </c:pt>
                <c:pt idx="23">
                  <c:v>3.34375</c:v>
                </c:pt>
                <c:pt idx="24">
                  <c:v>3.65625</c:v>
                </c:pt>
                <c:pt idx="25">
                  <c:v>3.96875</c:v>
                </c:pt>
                <c:pt idx="26">
                  <c:v>4.28125</c:v>
                </c:pt>
                <c:pt idx="27">
                  <c:v>4.59375</c:v>
                </c:pt>
                <c:pt idx="28">
                  <c:v>4.90625</c:v>
                </c:pt>
                <c:pt idx="29">
                  <c:v>5.21875</c:v>
                </c:pt>
                <c:pt idx="30">
                  <c:v>5.53125</c:v>
                </c:pt>
                <c:pt idx="31">
                  <c:v>5.84375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0-4E88-A86C-BAFFF93A0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382872"/>
        <c:axId val="370009560"/>
      </c:scatterChart>
      <c:valAx>
        <c:axId val="490382872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0009560"/>
        <c:crosses val="autoZero"/>
        <c:crossBetween val="midCat"/>
      </c:valAx>
      <c:valAx>
        <c:axId val="37000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0382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04323902487107"/>
          <c:y val="4.2631687947219159E-2"/>
          <c:w val="0.23715846872081123"/>
          <c:h val="0.30465467178921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023629" y="985591"/>
    <xdr:ext cx="7139939" cy="4732020"/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61546BF7-4EA8-4DEB-B823-365A0564C0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384929</xdr:colOff>
      <xdr:row>30</xdr:row>
      <xdr:rowOff>47134</xdr:rowOff>
    </xdr:from>
    <xdr:to>
      <xdr:col>28</xdr:col>
      <xdr:colOff>460017</xdr:colOff>
      <xdr:row>71</xdr:row>
      <xdr:rowOff>14155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605C6-2484-47CE-A872-F9A3C901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8389" y="5541154"/>
          <a:ext cx="4951888" cy="7465101"/>
        </a:xfrm>
        <a:prstGeom prst="rect">
          <a:avLst/>
        </a:prstGeom>
      </xdr:spPr>
    </xdr:pic>
    <xdr:clientData/>
  </xdr:twoCellAnchor>
  <xdr:twoCellAnchor editAs="oneCell">
    <xdr:from>
      <xdr:col>9</xdr:col>
      <xdr:colOff>526329</xdr:colOff>
      <xdr:row>30</xdr:row>
      <xdr:rowOff>86411</xdr:rowOff>
    </xdr:from>
    <xdr:to>
      <xdr:col>18</xdr:col>
      <xdr:colOff>242346</xdr:colOff>
      <xdr:row>71</xdr:row>
      <xdr:rowOff>81602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25C67-36C4-405F-A0CA-19F249814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6149" y="5580431"/>
          <a:ext cx="5331957" cy="7493271"/>
        </a:xfrm>
        <a:prstGeom prst="rect">
          <a:avLst/>
        </a:prstGeom>
      </xdr:spPr>
    </xdr:pic>
    <xdr:clientData/>
  </xdr:twoCellAnchor>
  <xdr:absoluteAnchor>
    <xdr:pos x="8100060" y="434340"/>
    <xdr:ext cx="7139939" cy="4732020"/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08AFC011-5A09-4B5F-8A1D-645D605A4A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JLD/Downloads/12000/Kossira%20flight%20only%20spectrum%20corrected%20to%20class%2032%20mid%20v3.xlsx" TargetMode="External"/><Relationship Id="rId2" Type="http://schemas.openxmlformats.org/officeDocument/2006/relationships/externalLinkPath" Target="file:///C:\Users\JLD\Downloads\12000\Kossira%20flight%20only%20spectrum%20corrected%20to%20class%2032%20mid%20v3.xlsx" TargetMode="External"/><Relationship Id="rId1" Type="http://schemas.openxmlformats.org/officeDocument/2006/relationships/externalLinkPath" Target="/Users/JLD/Downloads/12000/Kossira%20flight%20only%20spectrum%20corrected%20to%20class%2032%20mid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H3" t="str">
            <v>Kossira adjsuted 
to class  32 mid
flight only  6000FH</v>
          </cell>
        </row>
        <row r="6">
          <cell r="G6">
            <v>-3.84375</v>
          </cell>
          <cell r="H6">
            <v>0.1</v>
          </cell>
        </row>
        <row r="7">
          <cell r="G7">
            <v>-3.53125</v>
          </cell>
          <cell r="H7">
            <v>0.1</v>
          </cell>
        </row>
        <row r="8">
          <cell r="G8">
            <v>-3.21875</v>
          </cell>
          <cell r="H8">
            <v>0.1</v>
          </cell>
        </row>
        <row r="9">
          <cell r="G9">
            <v>-2.90625</v>
          </cell>
          <cell r="H9">
            <v>0.1</v>
          </cell>
        </row>
        <row r="10">
          <cell r="G10">
            <v>-2.59375</v>
          </cell>
          <cell r="H10">
            <v>0.1</v>
          </cell>
        </row>
        <row r="11">
          <cell r="G11">
            <v>-2.28125</v>
          </cell>
          <cell r="H11">
            <v>6.1896833511812508</v>
          </cell>
        </row>
        <row r="12">
          <cell r="G12">
            <v>-1.96875</v>
          </cell>
          <cell r="H12">
            <v>46.351233672718344</v>
          </cell>
        </row>
        <row r="13">
          <cell r="G13">
            <v>-1.65625</v>
          </cell>
          <cell r="H13">
            <v>281.88459796519396</v>
          </cell>
        </row>
        <row r="14">
          <cell r="G14">
            <v>-1.34375</v>
          </cell>
          <cell r="H14">
            <v>1164.9943083778039</v>
          </cell>
        </row>
        <row r="15">
          <cell r="G15">
            <v>-1.03125</v>
          </cell>
          <cell r="H15">
            <v>2988.816232787914</v>
          </cell>
        </row>
        <row r="16">
          <cell r="G16">
            <v>-0.71875</v>
          </cell>
          <cell r="H16">
            <v>6098.5701774368081</v>
          </cell>
        </row>
        <row r="17">
          <cell r="G17">
            <v>-0.40625</v>
          </cell>
          <cell r="H17">
            <v>10800.323747272461</v>
          </cell>
        </row>
        <row r="18">
          <cell r="G18">
            <v>-9.375E-2</v>
          </cell>
          <cell r="H18">
            <v>21279.81938998336</v>
          </cell>
        </row>
        <row r="19">
          <cell r="G19">
            <v>0.21875</v>
          </cell>
          <cell r="H19">
            <v>133934.39236837826</v>
          </cell>
        </row>
        <row r="20">
          <cell r="G20">
            <v>0.53125</v>
          </cell>
          <cell r="H20">
            <v>1423065.7528670055</v>
          </cell>
        </row>
        <row r="21">
          <cell r="G21">
            <v>0.84375</v>
          </cell>
          <cell r="H21">
            <v>6624972.4118471807</v>
          </cell>
        </row>
        <row r="22">
          <cell r="G22">
            <v>1.15625</v>
          </cell>
          <cell r="H22">
            <v>6196570.7975333016</v>
          </cell>
        </row>
        <row r="23">
          <cell r="G23">
            <v>1.46875</v>
          </cell>
          <cell r="H23">
            <v>4268809.1599080963</v>
          </cell>
        </row>
        <row r="24">
          <cell r="G24">
            <v>1.78125</v>
          </cell>
          <cell r="H24">
            <v>728422.61064777104</v>
          </cell>
        </row>
        <row r="25">
          <cell r="G25">
            <v>2.09375</v>
          </cell>
          <cell r="H25">
            <v>149719.98756399861</v>
          </cell>
        </row>
        <row r="26">
          <cell r="G26">
            <v>2.40625</v>
          </cell>
          <cell r="H26">
            <v>49805.270891066604</v>
          </cell>
        </row>
        <row r="27">
          <cell r="G27">
            <v>2.71875</v>
          </cell>
          <cell r="H27">
            <v>24545.47921575599</v>
          </cell>
        </row>
        <row r="28">
          <cell r="G28">
            <v>3.03125</v>
          </cell>
          <cell r="H28">
            <v>15080.95178259328</v>
          </cell>
        </row>
        <row r="29">
          <cell r="G29">
            <v>3.34375</v>
          </cell>
          <cell r="H29">
            <v>10346.133398819569</v>
          </cell>
        </row>
        <row r="30">
          <cell r="G30">
            <v>3.65625</v>
          </cell>
          <cell r="H30">
            <v>7025.2183346788679</v>
          </cell>
        </row>
        <row r="31">
          <cell r="G31">
            <v>3.96875</v>
          </cell>
          <cell r="H31">
            <v>3133.2284668999573</v>
          </cell>
        </row>
        <row r="32">
          <cell r="G32">
            <v>4.28125</v>
          </cell>
          <cell r="H32">
            <v>449.90763888037839</v>
          </cell>
        </row>
        <row r="33">
          <cell r="G33">
            <v>4.59375</v>
          </cell>
          <cell r="H33">
            <v>32.749706636603719</v>
          </cell>
        </row>
        <row r="34">
          <cell r="G34">
            <v>4.90625</v>
          </cell>
          <cell r="H34">
            <v>0.1</v>
          </cell>
        </row>
        <row r="35">
          <cell r="G35">
            <v>5.21875</v>
          </cell>
          <cell r="H35">
            <v>0.1</v>
          </cell>
        </row>
        <row r="36">
          <cell r="G36">
            <v>5.53125</v>
          </cell>
          <cell r="H36">
            <v>0.1</v>
          </cell>
        </row>
        <row r="37">
          <cell r="G37">
            <v>5.84375</v>
          </cell>
          <cell r="H37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65F-ACFF-4BC5-ABC1-2074ED866565}">
  <dimension ref="A1:AU39"/>
  <sheetViews>
    <sheetView tabSelected="1" zoomScale="71" zoomScaleNormal="75" workbookViewId="0">
      <selection activeCell="B4" sqref="B4"/>
    </sheetView>
  </sheetViews>
  <sheetFormatPr defaultRowHeight="14.4" x14ac:dyDescent="0.3"/>
  <cols>
    <col min="1" max="1" width="18.33203125" customWidth="1"/>
    <col min="2" max="2" width="8.88671875" customWidth="1"/>
    <col min="3" max="3" width="3.6640625" customWidth="1"/>
    <col min="4" max="4" width="8.44140625" customWidth="1"/>
    <col min="5" max="5" width="9.88671875" customWidth="1"/>
    <col min="6" max="6" width="12.33203125" customWidth="1"/>
    <col min="7" max="7" width="8.6640625" hidden="1" customWidth="1"/>
    <col min="8" max="8" width="14.44140625" hidden="1" customWidth="1"/>
    <col min="9" max="9" width="16.5546875" customWidth="1"/>
    <col min="10" max="10" width="13.5546875" customWidth="1"/>
    <col min="11" max="11" width="13.21875" hidden="1" customWidth="1"/>
    <col min="12" max="16" width="16.77734375" hidden="1" customWidth="1"/>
    <col min="17" max="17" width="14.33203125" customWidth="1"/>
    <col min="18" max="18" width="16.77734375" customWidth="1"/>
    <col min="19" max="19" width="12.77734375" customWidth="1"/>
    <col min="20" max="20" width="12.109375" customWidth="1"/>
  </cols>
  <sheetData>
    <row r="1" spans="1:47" ht="18" x14ac:dyDescent="0.35">
      <c r="B1" s="40" t="s">
        <v>21</v>
      </c>
      <c r="C1" s="40"/>
      <c r="D1" s="40"/>
      <c r="E1" s="41"/>
      <c r="F1" s="37">
        <f>ROUND(SUM(J6:J37)/SUM(S6:S37),0)</f>
        <v>26</v>
      </c>
      <c r="H1" s="38"/>
      <c r="J1" s="39"/>
      <c r="K1" s="34"/>
      <c r="Q1" s="39"/>
    </row>
    <row r="2" spans="1:47" x14ac:dyDescent="0.3">
      <c r="AT2" s="21" t="s">
        <v>30</v>
      </c>
      <c r="AU2" s="30">
        <f>O4</f>
        <v>1.7</v>
      </c>
    </row>
    <row r="3" spans="1:47" ht="14.4" customHeight="1" x14ac:dyDescent="0.3">
      <c r="A3" s="21" t="s">
        <v>19</v>
      </c>
      <c r="B3" s="31">
        <v>6.25</v>
      </c>
      <c r="D3" s="43" t="s">
        <v>9</v>
      </c>
      <c r="E3" s="43" t="s">
        <v>20</v>
      </c>
      <c r="F3" s="24" t="s">
        <v>46</v>
      </c>
      <c r="G3" s="24" t="s">
        <v>23</v>
      </c>
      <c r="H3" s="8"/>
      <c r="I3" s="42" t="s">
        <v>17</v>
      </c>
      <c r="J3" s="42" t="s">
        <v>18</v>
      </c>
      <c r="K3" s="7" t="str">
        <f>'JANUS NEXT 3'!$B$1</f>
        <v>JANUS NEXT 3</v>
      </c>
      <c r="L3" s="7" t="str">
        <f>'JANUS NEXT 2'!$B$1</f>
        <v>JANUS NEXT 2</v>
      </c>
      <c r="M3" s="7" t="str">
        <f>'JANUS NEXT 1'!$B$1</f>
        <v>JANUS NEXT 1</v>
      </c>
      <c r="N3" s="7" t="str">
        <f>'JANUS 260625'!$B$1</f>
        <v>JANUS 260625</v>
      </c>
      <c r="O3" s="7" t="s">
        <v>34</v>
      </c>
      <c r="P3" s="8"/>
      <c r="Q3" s="7" t="s">
        <v>47</v>
      </c>
      <c r="R3" s="42" t="s">
        <v>43</v>
      </c>
      <c r="S3" s="42" t="s">
        <v>44</v>
      </c>
    </row>
    <row r="4" spans="1:47" ht="14.4" customHeight="1" x14ac:dyDescent="0.3">
      <c r="D4" s="43"/>
      <c r="E4" s="43"/>
      <c r="F4" s="26">
        <v>6000</v>
      </c>
      <c r="G4" s="36">
        <f>AU2</f>
        <v>1.7</v>
      </c>
      <c r="H4" s="8"/>
      <c r="I4" s="42"/>
      <c r="J4" s="42"/>
      <c r="K4" s="32">
        <f>'JANUS NEXT 3'!$B$4</f>
        <v>0</v>
      </c>
      <c r="L4" s="32">
        <f>'JANUS NEXT 2'!$B$4</f>
        <v>0</v>
      </c>
      <c r="M4" s="32">
        <f>'JANUS NEXT 1'!$B$4</f>
        <v>0</v>
      </c>
      <c r="N4" s="32">
        <f>'JANUS 260625'!$B$4</f>
        <v>1.7</v>
      </c>
      <c r="O4" s="35">
        <f t="shared" ref="O4" si="0">SUM(K4:N4)</f>
        <v>1.7</v>
      </c>
      <c r="P4" s="8"/>
      <c r="Q4" s="7">
        <v>6000</v>
      </c>
      <c r="R4" s="42"/>
      <c r="S4" s="42"/>
      <c r="T4" s="3"/>
    </row>
    <row r="5" spans="1:47" x14ac:dyDescent="0.3">
      <c r="A5" s="21" t="s">
        <v>22</v>
      </c>
      <c r="B5" s="30">
        <f>H38/H39</f>
        <v>1.1023513295005389</v>
      </c>
      <c r="D5" s="43"/>
      <c r="E5" s="43"/>
      <c r="F5" s="25" t="s">
        <v>16</v>
      </c>
      <c r="G5" s="24" t="s">
        <v>16</v>
      </c>
      <c r="H5" s="8"/>
      <c r="I5" s="42"/>
      <c r="J5" s="42"/>
      <c r="K5" s="7" t="s">
        <v>16</v>
      </c>
      <c r="L5" s="7" t="s">
        <v>16</v>
      </c>
      <c r="M5" s="7" t="s">
        <v>16</v>
      </c>
      <c r="N5" s="7" t="s">
        <v>16</v>
      </c>
      <c r="O5" s="7" t="s">
        <v>16</v>
      </c>
      <c r="P5" s="8"/>
      <c r="Q5" s="7" t="s">
        <v>16</v>
      </c>
      <c r="R5" s="42"/>
      <c r="S5" s="42"/>
      <c r="T5" s="3"/>
    </row>
    <row r="6" spans="1:47" x14ac:dyDescent="0.3">
      <c r="A6" s="21" t="s">
        <v>45</v>
      </c>
      <c r="B6" s="30">
        <f>P38/P39</f>
        <v>1.0711856077023094</v>
      </c>
      <c r="D6" s="1">
        <v>1</v>
      </c>
      <c r="E6" s="1">
        <f>Kossira!G6</f>
        <v>-3.84375</v>
      </c>
      <c r="F6" s="23">
        <f>IF(Kossira!H6&lt;0.5,0,Kossira!H6)</f>
        <v>0</v>
      </c>
      <c r="G6" s="27">
        <f t="shared" ref="G6:G37" si="1">INT(F6/6000*$AU$2)</f>
        <v>0</v>
      </c>
      <c r="H6" s="23">
        <f>E6*G6</f>
        <v>0</v>
      </c>
      <c r="I6" s="29">
        <f t="shared" ref="I6:I37" si="2">(ABS(E6-$B$5))^$B$3</f>
        <v>21834.528028430119</v>
      </c>
      <c r="J6" s="28">
        <f>F6*I6</f>
        <v>0</v>
      </c>
      <c r="K6" s="27">
        <f>'JANUS NEXT 3'!B6</f>
        <v>0</v>
      </c>
      <c r="L6" s="27">
        <f>'JANUS NEXT 2'!B6</f>
        <v>0</v>
      </c>
      <c r="M6" s="27">
        <f>'JANUS NEXT 1'!$B6</f>
        <v>0</v>
      </c>
      <c r="N6" s="27">
        <f>'JANUS 260625'!$B6</f>
        <v>0</v>
      </c>
      <c r="O6" s="27">
        <f t="shared" ref="O6:O37" si="3">SUM(K6:N6)</f>
        <v>0</v>
      </c>
      <c r="P6" s="23">
        <f t="shared" ref="P6:P37" si="4">E6*O6</f>
        <v>0</v>
      </c>
      <c r="Q6" s="33">
        <f>O6*6000/$O$4</f>
        <v>0</v>
      </c>
      <c r="R6" s="29">
        <f t="shared" ref="R6:R37" si="5">(ABS(E6-$B$6))^$B$3</f>
        <v>20988.744085624105</v>
      </c>
      <c r="S6" s="28">
        <f>Q6*R6</f>
        <v>0</v>
      </c>
      <c r="T6" s="3"/>
      <c r="U6" s="3"/>
      <c r="V6" s="3"/>
    </row>
    <row r="7" spans="1:47" x14ac:dyDescent="0.3">
      <c r="D7" s="1">
        <f>D6+1</f>
        <v>2</v>
      </c>
      <c r="E7" s="1">
        <f>Kossira!G7</f>
        <v>-3.53125</v>
      </c>
      <c r="F7" s="23">
        <f>IF(Kossira!H7&lt;0.5,0,Kossira!H7)</f>
        <v>0</v>
      </c>
      <c r="G7" s="27">
        <f t="shared" si="1"/>
        <v>0</v>
      </c>
      <c r="H7" s="23">
        <f t="shared" ref="H7:H37" si="6">E7*G7</f>
        <v>0</v>
      </c>
      <c r="I7" s="29">
        <f t="shared" si="2"/>
        <v>14520.837152462747</v>
      </c>
      <c r="J7" s="28">
        <f t="shared" ref="J7:J37" si="7">F7*I7</f>
        <v>0</v>
      </c>
      <c r="K7" s="27">
        <f>'JANUS NEXT 3'!B7</f>
        <v>0</v>
      </c>
      <c r="L7" s="27">
        <f>'JANUS NEXT 2'!B7</f>
        <v>0</v>
      </c>
      <c r="M7" s="27">
        <f>'JANUS NEXT 1'!$B7</f>
        <v>0</v>
      </c>
      <c r="N7" s="27">
        <f>'JANUS 260625'!$B7</f>
        <v>0</v>
      </c>
      <c r="O7" s="27">
        <f t="shared" si="3"/>
        <v>0</v>
      </c>
      <c r="P7" s="23">
        <f t="shared" si="4"/>
        <v>0</v>
      </c>
      <c r="Q7" s="33">
        <f t="shared" ref="Q7:Q37" si="8">O7*6000/$O$4</f>
        <v>0</v>
      </c>
      <c r="R7" s="29">
        <f t="shared" si="5"/>
        <v>13921.090490546025</v>
      </c>
      <c r="S7" s="28">
        <f t="shared" ref="S7:S37" si="9">Q7*R7</f>
        <v>0</v>
      </c>
    </row>
    <row r="8" spans="1:47" ht="14.4" customHeight="1" x14ac:dyDescent="0.3">
      <c r="D8" s="1">
        <f t="shared" ref="D8:D36" si="10">D7+1</f>
        <v>3</v>
      </c>
      <c r="E8" s="1">
        <f>Kossira!G8</f>
        <v>-3.21875</v>
      </c>
      <c r="F8" s="23">
        <f>IF(Kossira!H8&lt;0.5,0,Kossira!H8)</f>
        <v>0</v>
      </c>
      <c r="G8" s="27">
        <f t="shared" si="1"/>
        <v>0</v>
      </c>
      <c r="H8" s="23">
        <f t="shared" si="6"/>
        <v>0</v>
      </c>
      <c r="I8" s="29">
        <f t="shared" si="2"/>
        <v>9385.6707761431207</v>
      </c>
      <c r="J8" s="28">
        <f t="shared" si="7"/>
        <v>0</v>
      </c>
      <c r="K8" s="27">
        <f>'JANUS NEXT 3'!B8</f>
        <v>0</v>
      </c>
      <c r="L8" s="27">
        <f>'JANUS NEXT 2'!B8</f>
        <v>0</v>
      </c>
      <c r="M8" s="27">
        <f>'JANUS NEXT 1'!$B8</f>
        <v>0</v>
      </c>
      <c r="N8" s="27">
        <f>'JANUS 260625'!$B8</f>
        <v>0</v>
      </c>
      <c r="O8" s="27">
        <f t="shared" si="3"/>
        <v>0</v>
      </c>
      <c r="P8" s="23">
        <f t="shared" si="4"/>
        <v>0</v>
      </c>
      <c r="Q8" s="33">
        <f t="shared" si="8"/>
        <v>0</v>
      </c>
      <c r="R8" s="29">
        <f t="shared" si="5"/>
        <v>8970.5141167840775</v>
      </c>
      <c r="S8" s="28">
        <f t="shared" si="9"/>
        <v>0</v>
      </c>
    </row>
    <row r="9" spans="1:47" x14ac:dyDescent="0.3">
      <c r="D9" s="1">
        <f t="shared" si="10"/>
        <v>4</v>
      </c>
      <c r="E9" s="1">
        <f>Kossira!G9</f>
        <v>-2.90625</v>
      </c>
      <c r="F9" s="23">
        <f>IF(Kossira!H9&lt;0.5,0,Kossira!H9)</f>
        <v>0</v>
      </c>
      <c r="G9" s="27">
        <f t="shared" si="1"/>
        <v>0</v>
      </c>
      <c r="H9" s="23">
        <f t="shared" si="6"/>
        <v>0</v>
      </c>
      <c r="I9" s="29">
        <f t="shared" si="2"/>
        <v>5870.9098760380175</v>
      </c>
      <c r="J9" s="28">
        <f t="shared" si="7"/>
        <v>0</v>
      </c>
      <c r="K9" s="27">
        <f>'JANUS NEXT 3'!B9</f>
        <v>0</v>
      </c>
      <c r="L9" s="27">
        <f>'JANUS NEXT 2'!B9</f>
        <v>0</v>
      </c>
      <c r="M9" s="27">
        <f>'JANUS NEXT 1'!$B9</f>
        <v>0</v>
      </c>
      <c r="N9" s="27">
        <f>'JANUS 260625'!$B9</f>
        <v>0</v>
      </c>
      <c r="O9" s="27">
        <f t="shared" si="3"/>
        <v>0</v>
      </c>
      <c r="P9" s="23">
        <f t="shared" si="4"/>
        <v>0</v>
      </c>
      <c r="Q9" s="33">
        <f t="shared" si="8"/>
        <v>0</v>
      </c>
      <c r="R9" s="29">
        <f t="shared" si="5"/>
        <v>5591.3893357177221</v>
      </c>
      <c r="S9" s="28">
        <f t="shared" si="9"/>
        <v>0</v>
      </c>
    </row>
    <row r="10" spans="1:47" x14ac:dyDescent="0.3">
      <c r="D10" s="1">
        <f t="shared" si="10"/>
        <v>5</v>
      </c>
      <c r="E10" s="1">
        <f>Kossira!G10</f>
        <v>-2.59375</v>
      </c>
      <c r="F10" s="23">
        <f>IF(Kossira!H10&lt;0.5,0,Kossira!H10)</f>
        <v>0</v>
      </c>
      <c r="G10" s="27">
        <f t="shared" si="1"/>
        <v>0</v>
      </c>
      <c r="H10" s="23">
        <f t="shared" si="6"/>
        <v>0</v>
      </c>
      <c r="I10" s="29">
        <f t="shared" si="2"/>
        <v>3535.0794690437051</v>
      </c>
      <c r="J10" s="28">
        <f t="shared" si="7"/>
        <v>0</v>
      </c>
      <c r="K10" s="27">
        <f>'JANUS NEXT 3'!B10</f>
        <v>0</v>
      </c>
      <c r="L10" s="27">
        <f>'JANUS NEXT 2'!B10</f>
        <v>0</v>
      </c>
      <c r="M10" s="27">
        <f>'JANUS NEXT 1'!$B10</f>
        <v>0</v>
      </c>
      <c r="N10" s="27">
        <f>'JANUS 260625'!$B10</f>
        <v>0</v>
      </c>
      <c r="O10" s="27">
        <f t="shared" si="3"/>
        <v>0</v>
      </c>
      <c r="P10" s="23">
        <f t="shared" si="4"/>
        <v>0</v>
      </c>
      <c r="Q10" s="33">
        <f t="shared" si="8"/>
        <v>0</v>
      </c>
      <c r="R10" s="29">
        <f t="shared" si="5"/>
        <v>3352.8542781778065</v>
      </c>
      <c r="S10" s="28">
        <f t="shared" si="9"/>
        <v>0</v>
      </c>
    </row>
    <row r="11" spans="1:47" x14ac:dyDescent="0.3">
      <c r="D11" s="1">
        <f t="shared" si="10"/>
        <v>6</v>
      </c>
      <c r="E11" s="1">
        <f>Kossira!G11</f>
        <v>-2.28125</v>
      </c>
      <c r="F11" s="23">
        <f>IF(Kossira!H11&lt;0.5,0,Kossira!H11)</f>
        <v>6.1896833511812508</v>
      </c>
      <c r="G11" s="27">
        <f t="shared" si="1"/>
        <v>0</v>
      </c>
      <c r="H11" s="23">
        <f t="shared" si="6"/>
        <v>0</v>
      </c>
      <c r="I11" s="29">
        <f t="shared" si="2"/>
        <v>2035.2600986791897</v>
      </c>
      <c r="J11" s="28">
        <f t="shared" si="7"/>
        <v>12597.61554811809</v>
      </c>
      <c r="K11" s="27">
        <f>'JANUS NEXT 3'!B11</f>
        <v>0</v>
      </c>
      <c r="L11" s="27">
        <f>'JANUS NEXT 2'!B11</f>
        <v>0</v>
      </c>
      <c r="M11" s="27">
        <f>'JANUS NEXT 1'!$B11</f>
        <v>0</v>
      </c>
      <c r="N11" s="27">
        <f>'JANUS 260625'!$B11</f>
        <v>0</v>
      </c>
      <c r="O11" s="27">
        <f t="shared" si="3"/>
        <v>0</v>
      </c>
      <c r="P11" s="23">
        <f t="shared" si="4"/>
        <v>0</v>
      </c>
      <c r="Q11" s="33">
        <f t="shared" si="8"/>
        <v>0</v>
      </c>
      <c r="R11" s="29">
        <f t="shared" si="5"/>
        <v>1920.8912588533044</v>
      </c>
      <c r="S11" s="28">
        <f t="shared" si="9"/>
        <v>0</v>
      </c>
    </row>
    <row r="12" spans="1:47" x14ac:dyDescent="0.3">
      <c r="D12" s="1">
        <f t="shared" si="10"/>
        <v>7</v>
      </c>
      <c r="E12" s="1">
        <f>Kossira!G12</f>
        <v>-1.96875</v>
      </c>
      <c r="F12" s="23">
        <f>IF(Kossira!H12&lt;0.5,0,Kossira!H12)</f>
        <v>46.351233672718344</v>
      </c>
      <c r="G12" s="27">
        <f t="shared" si="1"/>
        <v>0</v>
      </c>
      <c r="H12" s="23">
        <f t="shared" si="6"/>
        <v>0</v>
      </c>
      <c r="I12" s="29">
        <f t="shared" si="2"/>
        <v>1110.6786215275613</v>
      </c>
      <c r="J12" s="28">
        <f t="shared" si="7"/>
        <v>51481.324321716689</v>
      </c>
      <c r="K12" s="27">
        <f>'JANUS NEXT 3'!B12</f>
        <v>0</v>
      </c>
      <c r="L12" s="27">
        <f>'JANUS NEXT 2'!B12</f>
        <v>0</v>
      </c>
      <c r="M12" s="27">
        <f>'JANUS NEXT 1'!$B12</f>
        <v>0</v>
      </c>
      <c r="N12" s="27">
        <f>'JANUS 260625'!$B12</f>
        <v>0</v>
      </c>
      <c r="O12" s="27">
        <f t="shared" si="3"/>
        <v>0</v>
      </c>
      <c r="P12" s="23">
        <f t="shared" si="4"/>
        <v>0</v>
      </c>
      <c r="Q12" s="33">
        <f t="shared" si="8"/>
        <v>0</v>
      </c>
      <c r="R12" s="29">
        <f t="shared" si="5"/>
        <v>1042.0832197015025</v>
      </c>
      <c r="S12" s="28">
        <f t="shared" si="9"/>
        <v>0</v>
      </c>
    </row>
    <row r="13" spans="1:47" x14ac:dyDescent="0.3">
      <c r="D13" s="1">
        <f t="shared" si="10"/>
        <v>8</v>
      </c>
      <c r="E13" s="1">
        <f>Kossira!G13</f>
        <v>-1.65625</v>
      </c>
      <c r="F13" s="23">
        <f>IF(Kossira!H13&lt;0.5,0,Kossira!H13)</f>
        <v>281.88459796519396</v>
      </c>
      <c r="G13" s="27">
        <f t="shared" si="1"/>
        <v>0</v>
      </c>
      <c r="H13" s="23">
        <f t="shared" si="6"/>
        <v>0</v>
      </c>
      <c r="I13" s="29">
        <f t="shared" si="2"/>
        <v>567.94447933394815</v>
      </c>
      <c r="J13" s="28">
        <f t="shared" si="7"/>
        <v>160094.80122360139</v>
      </c>
      <c r="K13" s="27">
        <f>'JANUS NEXT 3'!B13</f>
        <v>0</v>
      </c>
      <c r="L13" s="27">
        <f>'JANUS NEXT 2'!B13</f>
        <v>0</v>
      </c>
      <c r="M13" s="27">
        <f>'JANUS NEXT 1'!$B13</f>
        <v>0</v>
      </c>
      <c r="N13" s="27">
        <f>'JANUS 260625'!$B13</f>
        <v>0</v>
      </c>
      <c r="O13" s="27">
        <f t="shared" si="3"/>
        <v>0</v>
      </c>
      <c r="P13" s="23">
        <f t="shared" si="4"/>
        <v>0</v>
      </c>
      <c r="Q13" s="33">
        <f t="shared" si="8"/>
        <v>0</v>
      </c>
      <c r="R13" s="29">
        <f t="shared" si="5"/>
        <v>529.01216980911897</v>
      </c>
      <c r="S13" s="28">
        <f t="shared" si="9"/>
        <v>0</v>
      </c>
    </row>
    <row r="14" spans="1:47" x14ac:dyDescent="0.3">
      <c r="D14" s="1">
        <f t="shared" si="10"/>
        <v>9</v>
      </c>
      <c r="E14" s="1">
        <f>Kossira!G14</f>
        <v>-1.34375</v>
      </c>
      <c r="F14" s="23">
        <f>IF(Kossira!H14&lt;0.5,0,Kossira!H14)</f>
        <v>1164.9943083778039</v>
      </c>
      <c r="G14" s="27">
        <f t="shared" si="1"/>
        <v>0</v>
      </c>
      <c r="H14" s="23">
        <f t="shared" si="6"/>
        <v>0</v>
      </c>
      <c r="I14" s="29">
        <f t="shared" si="2"/>
        <v>267.89541019892334</v>
      </c>
      <c r="J14" s="28">
        <f t="shared" si="7"/>
        <v>312096.6281222828</v>
      </c>
      <c r="K14" s="27">
        <f>'JANUS NEXT 3'!B14</f>
        <v>0</v>
      </c>
      <c r="L14" s="27">
        <f>'JANUS NEXT 2'!B14</f>
        <v>0</v>
      </c>
      <c r="M14" s="27">
        <f>'JANUS NEXT 1'!$B14</f>
        <v>0</v>
      </c>
      <c r="N14" s="27">
        <f>'JANUS 260625'!$B14</f>
        <v>0</v>
      </c>
      <c r="O14" s="27">
        <f t="shared" si="3"/>
        <v>0</v>
      </c>
      <c r="P14" s="23">
        <f t="shared" si="4"/>
        <v>0</v>
      </c>
      <c r="Q14" s="33">
        <f t="shared" si="8"/>
        <v>0</v>
      </c>
      <c r="R14" s="29">
        <f t="shared" si="5"/>
        <v>247.26333330230631</v>
      </c>
      <c r="S14" s="28">
        <f t="shared" si="9"/>
        <v>0</v>
      </c>
    </row>
    <row r="15" spans="1:47" x14ac:dyDescent="0.3">
      <c r="D15" s="1">
        <f t="shared" si="10"/>
        <v>10</v>
      </c>
      <c r="E15" s="1">
        <f>Kossira!G15</f>
        <v>-1.03125</v>
      </c>
      <c r="F15" s="23">
        <f>IF(Kossira!H15&lt;0.5,0,Kossira!H15)</f>
        <v>2988.816232787914</v>
      </c>
      <c r="G15" s="27">
        <f t="shared" si="1"/>
        <v>0</v>
      </c>
      <c r="H15" s="23">
        <f t="shared" si="6"/>
        <v>0</v>
      </c>
      <c r="I15" s="29">
        <f t="shared" si="2"/>
        <v>114.01394110569893</v>
      </c>
      <c r="J15" s="28">
        <f t="shared" si="7"/>
        <v>340766.71794083819</v>
      </c>
      <c r="K15" s="27">
        <f>'JANUS NEXT 3'!B15</f>
        <v>0</v>
      </c>
      <c r="L15" s="27">
        <f>'JANUS NEXT 2'!B15</f>
        <v>0</v>
      </c>
      <c r="M15" s="27">
        <f>'JANUS NEXT 1'!$B15</f>
        <v>0</v>
      </c>
      <c r="N15" s="27">
        <f>'JANUS 260625'!$B15</f>
        <v>0</v>
      </c>
      <c r="O15" s="27">
        <f t="shared" si="3"/>
        <v>0</v>
      </c>
      <c r="P15" s="23">
        <f t="shared" si="4"/>
        <v>0</v>
      </c>
      <c r="Q15" s="33">
        <f t="shared" si="8"/>
        <v>0</v>
      </c>
      <c r="R15" s="29">
        <f t="shared" si="5"/>
        <v>103.99606237104094</v>
      </c>
      <c r="S15" s="28">
        <f t="shared" si="9"/>
        <v>0</v>
      </c>
    </row>
    <row r="16" spans="1:47" x14ac:dyDescent="0.3">
      <c r="D16" s="1">
        <f t="shared" si="10"/>
        <v>11</v>
      </c>
      <c r="E16" s="1">
        <f>Kossira!G16</f>
        <v>-0.71875</v>
      </c>
      <c r="F16" s="23">
        <f>IF(Kossira!H16&lt;0.5,0,Kossira!H16)</f>
        <v>6098.5701774368081</v>
      </c>
      <c r="G16" s="27">
        <f t="shared" si="1"/>
        <v>1</v>
      </c>
      <c r="H16" s="23">
        <f t="shared" si="6"/>
        <v>-0.71875</v>
      </c>
      <c r="I16" s="29">
        <f t="shared" si="2"/>
        <v>42.372900810608087</v>
      </c>
      <c r="J16" s="28">
        <f t="shared" si="7"/>
        <v>258414.10921506243</v>
      </c>
      <c r="K16" s="27">
        <f>'JANUS NEXT 3'!B16</f>
        <v>0</v>
      </c>
      <c r="L16" s="27">
        <f>'JANUS NEXT 2'!B16</f>
        <v>0</v>
      </c>
      <c r="M16" s="27">
        <f>'JANUS NEXT 1'!$B16</f>
        <v>0</v>
      </c>
      <c r="N16" s="27">
        <f>'JANUS 260625'!$B16</f>
        <v>0</v>
      </c>
      <c r="O16" s="27">
        <f t="shared" si="3"/>
        <v>0</v>
      </c>
      <c r="P16" s="23">
        <f t="shared" si="4"/>
        <v>0</v>
      </c>
      <c r="Q16" s="33">
        <f t="shared" si="8"/>
        <v>0</v>
      </c>
      <c r="R16" s="29">
        <f t="shared" si="5"/>
        <v>38.03941224531291</v>
      </c>
      <c r="S16" s="28">
        <f t="shared" si="9"/>
        <v>0</v>
      </c>
    </row>
    <row r="17" spans="4:19" x14ac:dyDescent="0.3">
      <c r="D17" s="1">
        <f t="shared" si="10"/>
        <v>12</v>
      </c>
      <c r="E17" s="1">
        <f>Kossira!G17</f>
        <v>-0.40625</v>
      </c>
      <c r="F17" s="23">
        <f>IF(Kossira!H17&lt;0.5,0,Kossira!H17)</f>
        <v>10800.323747272461</v>
      </c>
      <c r="G17" s="27">
        <f t="shared" si="1"/>
        <v>3</v>
      </c>
      <c r="H17" s="23">
        <f t="shared" si="6"/>
        <v>-1.21875</v>
      </c>
      <c r="I17" s="29">
        <f t="shared" si="2"/>
        <v>13.064432165175422</v>
      </c>
      <c r="J17" s="28">
        <f t="shared" si="7"/>
        <v>141100.09695817428</v>
      </c>
      <c r="K17" s="27">
        <f>'JANUS NEXT 3'!B17</f>
        <v>0</v>
      </c>
      <c r="L17" s="27">
        <f>'JANUS NEXT 2'!B17</f>
        <v>0</v>
      </c>
      <c r="M17" s="27">
        <f>'JANUS NEXT 1'!$B17</f>
        <v>0</v>
      </c>
      <c r="N17" s="27">
        <f>'JANUS 260625'!$B17</f>
        <v>0.1</v>
      </c>
      <c r="O17" s="27">
        <f t="shared" si="3"/>
        <v>0.1</v>
      </c>
      <c r="P17" s="23">
        <f t="shared" si="4"/>
        <v>-4.0625000000000001E-2</v>
      </c>
      <c r="Q17" s="33">
        <f>O17*6000/$O$4</f>
        <v>352.94117647058823</v>
      </c>
      <c r="R17" s="29">
        <f t="shared" si="5"/>
        <v>11.466437572639817</v>
      </c>
      <c r="S17" s="28">
        <f t="shared" si="9"/>
        <v>4046.9779668140532</v>
      </c>
    </row>
    <row r="18" spans="4:19" x14ac:dyDescent="0.3">
      <c r="D18" s="1">
        <f t="shared" si="10"/>
        <v>13</v>
      </c>
      <c r="E18" s="1">
        <f>Kossira!G18</f>
        <v>-9.375E-2</v>
      </c>
      <c r="F18" s="23">
        <f>IF(Kossira!H18&lt;0.5,0,Kossira!H18)</f>
        <v>21279.81938998336</v>
      </c>
      <c r="G18" s="27">
        <f t="shared" si="1"/>
        <v>6</v>
      </c>
      <c r="H18" s="23">
        <f t="shared" si="6"/>
        <v>-0.5625</v>
      </c>
      <c r="I18" s="29">
        <f t="shared" si="2"/>
        <v>3.0623147906330104</v>
      </c>
      <c r="J18" s="28">
        <f t="shared" si="7"/>
        <v>65165.505659945171</v>
      </c>
      <c r="K18" s="27">
        <f>'JANUS NEXT 3'!B18</f>
        <v>0</v>
      </c>
      <c r="L18" s="27">
        <f>'JANUS NEXT 2'!B18</f>
        <v>0</v>
      </c>
      <c r="M18" s="27">
        <f>'JANUS NEXT 1'!$B18</f>
        <v>0</v>
      </c>
      <c r="N18" s="27">
        <f>'JANUS 260625'!$B18</f>
        <v>2</v>
      </c>
      <c r="O18" s="27">
        <f t="shared" si="3"/>
        <v>2</v>
      </c>
      <c r="P18" s="23">
        <f t="shared" si="4"/>
        <v>-0.1875</v>
      </c>
      <c r="Q18" s="33">
        <f t="shared" si="8"/>
        <v>7058.8235294117649</v>
      </c>
      <c r="R18" s="29">
        <f t="shared" si="5"/>
        <v>2.5964920748969038</v>
      </c>
      <c r="S18" s="28">
        <f t="shared" si="9"/>
        <v>18328.179352213439</v>
      </c>
    </row>
    <row r="19" spans="4:19" x14ac:dyDescent="0.3">
      <c r="D19" s="1">
        <f t="shared" si="10"/>
        <v>14</v>
      </c>
      <c r="E19" s="1">
        <f>Kossira!G19</f>
        <v>0.21875</v>
      </c>
      <c r="F19" s="23">
        <f>IF(Kossira!H19&lt;0.5,0,Kossira!H19)</f>
        <v>133934.39236837826</v>
      </c>
      <c r="G19" s="27">
        <f t="shared" si="1"/>
        <v>37</v>
      </c>
      <c r="H19" s="23">
        <f t="shared" si="6"/>
        <v>8.09375</v>
      </c>
      <c r="I19" s="29">
        <f t="shared" si="2"/>
        <v>0.46142620400248602</v>
      </c>
      <c r="J19" s="28">
        <f t="shared" si="7"/>
        <v>61800.838255920316</v>
      </c>
      <c r="K19" s="27">
        <f>'JANUS NEXT 3'!B19</f>
        <v>0</v>
      </c>
      <c r="L19" s="27">
        <f>'JANUS NEXT 2'!B19</f>
        <v>0</v>
      </c>
      <c r="M19" s="27">
        <f>'JANUS NEXT 1'!$B19</f>
        <v>0</v>
      </c>
      <c r="N19" s="27">
        <f>'JANUS 260625'!$B19</f>
        <v>10</v>
      </c>
      <c r="O19" s="27">
        <f t="shared" si="3"/>
        <v>10</v>
      </c>
      <c r="P19" s="23">
        <f t="shared" si="4"/>
        <v>2.1875</v>
      </c>
      <c r="Q19" s="33">
        <f t="shared" si="8"/>
        <v>35294.117647058825</v>
      </c>
      <c r="R19" s="29">
        <f t="shared" si="5"/>
        <v>0.36866753194352148</v>
      </c>
      <c r="S19" s="28">
        <f t="shared" si="9"/>
        <v>13011.795245065465</v>
      </c>
    </row>
    <row r="20" spans="4:19" x14ac:dyDescent="0.3">
      <c r="D20" s="1">
        <f t="shared" si="10"/>
        <v>15</v>
      </c>
      <c r="E20" s="1">
        <f>Kossira!G20</f>
        <v>0.53125</v>
      </c>
      <c r="F20" s="23">
        <f>IF(Kossira!H20&lt;0.5,0,Kossira!H20)</f>
        <v>1423065.7528670055</v>
      </c>
      <c r="G20" s="27">
        <f t="shared" si="1"/>
        <v>403</v>
      </c>
      <c r="H20" s="23">
        <f t="shared" si="6"/>
        <v>214.09375</v>
      </c>
      <c r="I20" s="29">
        <f t="shared" si="2"/>
        <v>3.016180444860141E-2</v>
      </c>
      <c r="J20" s="28">
        <f t="shared" si="7"/>
        <v>42922.230955476363</v>
      </c>
      <c r="K20" s="27">
        <f>'JANUS NEXT 3'!B20</f>
        <v>0</v>
      </c>
      <c r="L20" s="27">
        <f>'JANUS NEXT 2'!B20</f>
        <v>0</v>
      </c>
      <c r="M20" s="27">
        <f>'JANUS NEXT 1'!$B20</f>
        <v>0</v>
      </c>
      <c r="N20" s="27">
        <f>'JANUS 260625'!$B20</f>
        <v>100</v>
      </c>
      <c r="O20" s="27">
        <f t="shared" si="3"/>
        <v>100</v>
      </c>
      <c r="P20" s="23">
        <f t="shared" si="4"/>
        <v>53.125</v>
      </c>
      <c r="Q20" s="33">
        <f t="shared" si="8"/>
        <v>352941.17647058825</v>
      </c>
      <c r="R20" s="29">
        <f t="shared" si="5"/>
        <v>2.1239158605688563E-2</v>
      </c>
      <c r="S20" s="28">
        <f t="shared" si="9"/>
        <v>7496.1736255371397</v>
      </c>
    </row>
    <row r="21" spans="4:19" x14ac:dyDescent="0.3">
      <c r="D21" s="1">
        <f t="shared" si="10"/>
        <v>16</v>
      </c>
      <c r="E21" s="1">
        <f>Kossira!G21</f>
        <v>0.84375</v>
      </c>
      <c r="F21" s="23">
        <f>IF(Kossira!H21&lt;0.5,0,Kossira!H21)</f>
        <v>6624972.4118471807</v>
      </c>
      <c r="G21" s="27">
        <f t="shared" si="1"/>
        <v>1877</v>
      </c>
      <c r="H21" s="23">
        <f t="shared" si="6"/>
        <v>1583.71875</v>
      </c>
      <c r="I21" s="29">
        <f t="shared" si="2"/>
        <v>2.1327610865463302E-4</v>
      </c>
      <c r="J21" s="28">
        <f t="shared" si="7"/>
        <v>1412.9483359430656</v>
      </c>
      <c r="K21" s="27">
        <f>'JANUS NEXT 3'!B21</f>
        <v>0</v>
      </c>
      <c r="L21" s="27">
        <f>'JANUS NEXT 2'!B21</f>
        <v>0</v>
      </c>
      <c r="M21" s="27">
        <f>'JANUS NEXT 1'!$B21</f>
        <v>0</v>
      </c>
      <c r="N21" s="27">
        <f>'JANUS 260625'!$B21</f>
        <v>1600</v>
      </c>
      <c r="O21" s="27">
        <f t="shared" si="3"/>
        <v>1600</v>
      </c>
      <c r="P21" s="23">
        <f t="shared" si="4"/>
        <v>1350</v>
      </c>
      <c r="Q21" s="33">
        <f t="shared" si="8"/>
        <v>5647058.823529412</v>
      </c>
      <c r="R21" s="29">
        <f t="shared" si="5"/>
        <v>9.5579635989119334E-5</v>
      </c>
      <c r="S21" s="28">
        <f t="shared" si="9"/>
        <v>539.74382676208563</v>
      </c>
    </row>
    <row r="22" spans="4:19" x14ac:dyDescent="0.3">
      <c r="D22" s="1">
        <f t="shared" si="10"/>
        <v>17</v>
      </c>
      <c r="E22" s="1">
        <f>Kossira!G22</f>
        <v>1.15625</v>
      </c>
      <c r="F22" s="23">
        <f>IF(Kossira!H22&lt;0.5,0,Kossira!H22)</f>
        <v>6196570.7975333016</v>
      </c>
      <c r="G22" s="27">
        <f t="shared" si="1"/>
        <v>1755</v>
      </c>
      <c r="H22" s="23">
        <f t="shared" si="6"/>
        <v>2029.21875</v>
      </c>
      <c r="I22" s="29">
        <f t="shared" si="2"/>
        <v>1.1813071416236784E-8</v>
      </c>
      <c r="J22" s="28">
        <f t="shared" si="7"/>
        <v>7.3200533367028212E-2</v>
      </c>
      <c r="K22" s="27">
        <f>'JANUS NEXT 3'!B22</f>
        <v>0</v>
      </c>
      <c r="L22" s="27">
        <f>'JANUS NEXT 2'!B22</f>
        <v>0</v>
      </c>
      <c r="M22" s="27">
        <f>'JANUS NEXT 1'!$B22</f>
        <v>0</v>
      </c>
      <c r="N22" s="27">
        <f>'JANUS 260625'!$B22</f>
        <v>1707</v>
      </c>
      <c r="O22" s="27">
        <f t="shared" si="3"/>
        <v>1707</v>
      </c>
      <c r="P22" s="23">
        <f t="shared" si="4"/>
        <v>1973.71875</v>
      </c>
      <c r="Q22" s="33">
        <f t="shared" si="8"/>
        <v>6024705.8823529417</v>
      </c>
      <c r="R22" s="29">
        <f t="shared" si="5"/>
        <v>2.0460854798187556E-7</v>
      </c>
      <c r="S22" s="28">
        <f t="shared" si="9"/>
        <v>1.2327063226060999</v>
      </c>
    </row>
    <row r="23" spans="4:19" x14ac:dyDescent="0.3">
      <c r="D23" s="1">
        <f t="shared" si="10"/>
        <v>18</v>
      </c>
      <c r="E23" s="1">
        <f>Kossira!G23</f>
        <v>1.46875</v>
      </c>
      <c r="F23" s="23">
        <f>IF(Kossira!H23&lt;0.5,0,Kossira!H23)</f>
        <v>4268809.1599080963</v>
      </c>
      <c r="G23" s="27">
        <f t="shared" si="1"/>
        <v>1209</v>
      </c>
      <c r="H23" s="23">
        <f t="shared" si="6"/>
        <v>1775.71875</v>
      </c>
      <c r="I23" s="29">
        <f t="shared" si="2"/>
        <v>1.8823995358699683E-3</v>
      </c>
      <c r="J23" s="28">
        <f t="shared" si="7"/>
        <v>8035.6043813284696</v>
      </c>
      <c r="K23" s="27">
        <f>'JANUS NEXT 3'!B23</f>
        <v>0</v>
      </c>
      <c r="L23" s="27">
        <f>'JANUS NEXT 2'!B23</f>
        <v>0</v>
      </c>
      <c r="M23" s="27">
        <f>'JANUS NEXT 1'!$B23</f>
        <v>0</v>
      </c>
      <c r="N23" s="27">
        <f>'JANUS 260625'!$B23</f>
        <v>525</v>
      </c>
      <c r="O23" s="27">
        <f t="shared" si="3"/>
        <v>525</v>
      </c>
      <c r="P23" s="23">
        <f t="shared" si="4"/>
        <v>771.09375</v>
      </c>
      <c r="Q23" s="33">
        <f t="shared" si="8"/>
        <v>1852941.1764705882</v>
      </c>
      <c r="R23" s="29">
        <f t="shared" si="5"/>
        <v>3.1354274075776987E-3</v>
      </c>
      <c r="S23" s="28">
        <f t="shared" si="9"/>
        <v>5809.762549335147</v>
      </c>
    </row>
    <row r="24" spans="4:19" x14ac:dyDescent="0.3">
      <c r="D24" s="1">
        <f t="shared" si="10"/>
        <v>19</v>
      </c>
      <c r="E24" s="1">
        <f>Kossira!G24</f>
        <v>1.78125</v>
      </c>
      <c r="F24" s="23">
        <f>IF(Kossira!H24&lt;0.5,0,Kossira!H24)</f>
        <v>728422.61064777104</v>
      </c>
      <c r="G24" s="27">
        <f t="shared" si="1"/>
        <v>206</v>
      </c>
      <c r="H24" s="23">
        <f t="shared" si="6"/>
        <v>366.9375</v>
      </c>
      <c r="I24" s="29">
        <f t="shared" si="2"/>
        <v>8.8875281370490514E-2</v>
      </c>
      <c r="J24" s="28">
        <f t="shared" si="7"/>
        <v>64738.764477947909</v>
      </c>
      <c r="K24" s="27">
        <f>'JANUS NEXT 3'!B24</f>
        <v>0</v>
      </c>
      <c r="L24" s="27">
        <f>'JANUS NEXT 2'!B24</f>
        <v>0</v>
      </c>
      <c r="M24" s="27">
        <f>'JANUS NEXT 1'!$B24</f>
        <v>0</v>
      </c>
      <c r="N24" s="27">
        <f>'JANUS 260625'!$B24</f>
        <v>75</v>
      </c>
      <c r="O24" s="27">
        <f t="shared" si="3"/>
        <v>75</v>
      </c>
      <c r="P24" s="23">
        <f t="shared" si="4"/>
        <v>133.59375</v>
      </c>
      <c r="Q24" s="33">
        <f t="shared" si="8"/>
        <v>264705.8823529412</v>
      </c>
      <c r="R24" s="29">
        <f t="shared" si="5"/>
        <v>0.11765512268609789</v>
      </c>
      <c r="S24" s="28">
        <f t="shared" si="9"/>
        <v>31144.003063967091</v>
      </c>
    </row>
    <row r="25" spans="4:19" x14ac:dyDescent="0.3">
      <c r="D25" s="1">
        <f t="shared" si="10"/>
        <v>20</v>
      </c>
      <c r="E25" s="1">
        <f>Kossira!G25</f>
        <v>2.09375</v>
      </c>
      <c r="F25" s="23">
        <f>IF(Kossira!H25&lt;0.5,0,Kossira!H25)</f>
        <v>149719.98756399861</v>
      </c>
      <c r="G25" s="27">
        <f t="shared" si="1"/>
        <v>42</v>
      </c>
      <c r="H25" s="23">
        <f t="shared" si="6"/>
        <v>87.9375</v>
      </c>
      <c r="I25" s="29">
        <f t="shared" si="2"/>
        <v>0.94744078484206062</v>
      </c>
      <c r="J25" s="28">
        <f t="shared" si="7"/>
        <v>141850.82252417839</v>
      </c>
      <c r="K25" s="27">
        <f>'JANUS NEXT 3'!B25</f>
        <v>0</v>
      </c>
      <c r="L25" s="27">
        <f>'JANUS NEXT 2'!B25</f>
        <v>0</v>
      </c>
      <c r="M25" s="27">
        <f>'JANUS NEXT 1'!$B25</f>
        <v>0</v>
      </c>
      <c r="N25" s="27">
        <f>'JANUS 260625'!$B25</f>
        <v>12</v>
      </c>
      <c r="O25" s="27">
        <f t="shared" si="3"/>
        <v>12</v>
      </c>
      <c r="P25" s="23">
        <f t="shared" si="4"/>
        <v>25.125</v>
      </c>
      <c r="Q25" s="33">
        <f t="shared" si="8"/>
        <v>42352.941176470587</v>
      </c>
      <c r="R25" s="29">
        <f t="shared" si="5"/>
        <v>1.1496526915355676</v>
      </c>
      <c r="S25" s="28">
        <f t="shared" si="9"/>
        <v>48691.172817976978</v>
      </c>
    </row>
    <row r="26" spans="4:19" x14ac:dyDescent="0.3">
      <c r="D26" s="1">
        <f t="shared" si="10"/>
        <v>21</v>
      </c>
      <c r="E26" s="1">
        <f>Kossira!G26</f>
        <v>2.40625</v>
      </c>
      <c r="F26" s="23">
        <f>IF(Kossira!H26&lt;0.5,0,Kossira!H26)</f>
        <v>49805.270891066604</v>
      </c>
      <c r="G26" s="27">
        <f t="shared" si="1"/>
        <v>14</v>
      </c>
      <c r="H26" s="23">
        <f t="shared" si="6"/>
        <v>33.6875</v>
      </c>
      <c r="I26" s="29">
        <f t="shared" si="2"/>
        <v>5.2513868904737473</v>
      </c>
      <c r="J26" s="28">
        <f t="shared" si="7"/>
        <v>261546.7466338409</v>
      </c>
      <c r="K26" s="27">
        <f>'JANUS NEXT 3'!B26</f>
        <v>0</v>
      </c>
      <c r="L26" s="27">
        <f>'JANUS NEXT 2'!B26</f>
        <v>0</v>
      </c>
      <c r="M26" s="27">
        <f>'JANUS NEXT 1'!$B26</f>
        <v>0</v>
      </c>
      <c r="N26" s="27">
        <f>'JANUS 260625'!$B26</f>
        <v>5</v>
      </c>
      <c r="O26" s="27">
        <f t="shared" si="3"/>
        <v>5</v>
      </c>
      <c r="P26" s="23">
        <f t="shared" si="4"/>
        <v>12.03125</v>
      </c>
      <c r="Q26" s="33">
        <f t="shared" si="8"/>
        <v>17647.058823529413</v>
      </c>
      <c r="R26" s="29">
        <f t="shared" si="5"/>
        <v>6.0867971806571699</v>
      </c>
      <c r="S26" s="28">
        <f t="shared" si="9"/>
        <v>107414.06789395006</v>
      </c>
    </row>
    <row r="27" spans="4:19" x14ac:dyDescent="0.3">
      <c r="D27" s="1">
        <f t="shared" si="10"/>
        <v>22</v>
      </c>
      <c r="E27" s="1">
        <f>Kossira!G27</f>
        <v>2.71875</v>
      </c>
      <c r="F27" s="23">
        <f>IF(Kossira!H27&lt;0.5,0,Kossira!H27)</f>
        <v>24545.47921575599</v>
      </c>
      <c r="G27" s="27">
        <f t="shared" si="1"/>
        <v>6</v>
      </c>
      <c r="H27" s="23">
        <f t="shared" si="6"/>
        <v>16.3125</v>
      </c>
      <c r="I27" s="29">
        <f t="shared" si="2"/>
        <v>20.110738944110377</v>
      </c>
      <c r="J27" s="28">
        <f t="shared" si="7"/>
        <v>493627.72476615582</v>
      </c>
      <c r="K27" s="27">
        <f>'JANUS NEXT 3'!B27</f>
        <v>0</v>
      </c>
      <c r="L27" s="27">
        <f>'JANUS NEXT 2'!B27</f>
        <v>0</v>
      </c>
      <c r="M27" s="27">
        <f>'JANUS NEXT 1'!$B27</f>
        <v>0</v>
      </c>
      <c r="N27" s="27">
        <f>'JANUS 260625'!$B27</f>
        <v>1.5</v>
      </c>
      <c r="O27" s="27">
        <f t="shared" si="3"/>
        <v>1.5</v>
      </c>
      <c r="P27" s="23">
        <f t="shared" si="4"/>
        <v>4.078125</v>
      </c>
      <c r="Q27" s="33">
        <f t="shared" si="8"/>
        <v>5294.1176470588234</v>
      </c>
      <c r="R27" s="29">
        <f t="shared" si="5"/>
        <v>22.660264923743373</v>
      </c>
      <c r="S27" s="28">
        <f t="shared" si="9"/>
        <v>119966.10841981786</v>
      </c>
    </row>
    <row r="28" spans="4:19" x14ac:dyDescent="0.3">
      <c r="D28" s="1">
        <f t="shared" si="10"/>
        <v>23</v>
      </c>
      <c r="E28" s="1">
        <f>Kossira!G28</f>
        <v>3.03125</v>
      </c>
      <c r="F28" s="23">
        <f>IF(Kossira!H28&lt;0.5,0,Kossira!H28)</f>
        <v>15080.95178259328</v>
      </c>
      <c r="G28" s="27">
        <f t="shared" si="1"/>
        <v>4</v>
      </c>
      <c r="H28" s="23">
        <f t="shared" si="6"/>
        <v>12.125</v>
      </c>
      <c r="I28" s="29">
        <f t="shared" si="2"/>
        <v>60.699321417295906</v>
      </c>
      <c r="J28" s="28">
        <f t="shared" si="7"/>
        <v>915403.53953037108</v>
      </c>
      <c r="K28" s="27">
        <f>'JANUS NEXT 3'!B28</f>
        <v>0</v>
      </c>
      <c r="L28" s="27">
        <f>'JANUS NEXT 2'!B28</f>
        <v>0</v>
      </c>
      <c r="M28" s="27">
        <f>'JANUS NEXT 1'!$B28</f>
        <v>0</v>
      </c>
      <c r="N28" s="27">
        <f>'JANUS 260625'!$B28</f>
        <v>0.15</v>
      </c>
      <c r="O28" s="27">
        <f t="shared" si="3"/>
        <v>0.15</v>
      </c>
      <c r="P28" s="23">
        <f t="shared" si="4"/>
        <v>0.45468749999999997</v>
      </c>
      <c r="Q28" s="33">
        <f t="shared" si="8"/>
        <v>529.41176470588232</v>
      </c>
      <c r="R28" s="29">
        <f t="shared" si="5"/>
        <v>67.094916897614823</v>
      </c>
      <c r="S28" s="28">
        <f t="shared" si="9"/>
        <v>35520.838357560788</v>
      </c>
    </row>
    <row r="29" spans="4:19" x14ac:dyDescent="0.3">
      <c r="D29" s="1">
        <f t="shared" si="10"/>
        <v>24</v>
      </c>
      <c r="E29" s="1">
        <f>Kossira!G29</f>
        <v>3.34375</v>
      </c>
      <c r="F29" s="23">
        <f>IF(Kossira!H29&lt;0.5,0,Kossira!H29)</f>
        <v>10346.133398819569</v>
      </c>
      <c r="G29" s="27">
        <f t="shared" si="1"/>
        <v>2</v>
      </c>
      <c r="H29" s="23">
        <f t="shared" si="6"/>
        <v>6.6875</v>
      </c>
      <c r="I29" s="29">
        <f t="shared" si="2"/>
        <v>155.14737695562843</v>
      </c>
      <c r="J29" s="28">
        <f t="shared" si="7"/>
        <v>1605175.4584598769</v>
      </c>
      <c r="K29" s="27">
        <f>'JANUS NEXT 3'!B29</f>
        <v>0</v>
      </c>
      <c r="L29" s="27">
        <f>'JANUS NEXT 2'!B29</f>
        <v>0</v>
      </c>
      <c r="M29" s="27">
        <f>'JANUS NEXT 1'!$B29</f>
        <v>0</v>
      </c>
      <c r="N29" s="27">
        <f>'JANUS 260625'!$B29</f>
        <v>0</v>
      </c>
      <c r="O29" s="27">
        <f t="shared" si="3"/>
        <v>0</v>
      </c>
      <c r="P29" s="23">
        <f t="shared" si="4"/>
        <v>0</v>
      </c>
      <c r="Q29" s="33">
        <f t="shared" si="8"/>
        <v>0</v>
      </c>
      <c r="R29" s="29">
        <f t="shared" si="5"/>
        <v>169.13217557000175</v>
      </c>
      <c r="S29" s="28">
        <f t="shared" si="9"/>
        <v>0</v>
      </c>
    </row>
    <row r="30" spans="4:19" x14ac:dyDescent="0.3">
      <c r="D30" s="1">
        <f t="shared" si="10"/>
        <v>25</v>
      </c>
      <c r="E30" s="1">
        <f>Kossira!G30</f>
        <v>3.65625</v>
      </c>
      <c r="F30" s="23">
        <f>IF(Kossira!H30&lt;0.5,0,Kossira!H30)</f>
        <v>7025.2183346788679</v>
      </c>
      <c r="G30" s="27">
        <f t="shared" si="1"/>
        <v>1</v>
      </c>
      <c r="H30" s="23">
        <f t="shared" si="6"/>
        <v>3.65625</v>
      </c>
      <c r="I30" s="29">
        <f t="shared" si="2"/>
        <v>350.77035935298352</v>
      </c>
      <c r="J30" s="28">
        <f t="shared" si="7"/>
        <v>2464238.3597884751</v>
      </c>
      <c r="K30" s="27">
        <f>'JANUS NEXT 3'!B30</f>
        <v>0</v>
      </c>
      <c r="L30" s="27">
        <f>'JANUS NEXT 2'!B30</f>
        <v>0</v>
      </c>
      <c r="M30" s="27">
        <f>'JANUS NEXT 1'!$B30</f>
        <v>0</v>
      </c>
      <c r="N30" s="27">
        <f>'JANUS 260625'!$B30</f>
        <v>0</v>
      </c>
      <c r="O30" s="27">
        <f t="shared" si="3"/>
        <v>0</v>
      </c>
      <c r="P30" s="23">
        <f t="shared" si="4"/>
        <v>0</v>
      </c>
      <c r="Q30" s="33">
        <f t="shared" si="8"/>
        <v>0</v>
      </c>
      <c r="R30" s="29">
        <f t="shared" si="5"/>
        <v>378.39556253270138</v>
      </c>
      <c r="S30" s="28">
        <f t="shared" si="9"/>
        <v>0</v>
      </c>
    </row>
    <row r="31" spans="4:19" x14ac:dyDescent="0.3">
      <c r="D31" s="1">
        <f t="shared" si="10"/>
        <v>26</v>
      </c>
      <c r="E31" s="1">
        <f>Kossira!G31</f>
        <v>3.96875</v>
      </c>
      <c r="F31" s="23">
        <f>IF(Kossira!H31&lt;0.5,0,Kossira!H31)</f>
        <v>3133.2284668999573</v>
      </c>
      <c r="G31" s="27">
        <f t="shared" si="1"/>
        <v>0</v>
      </c>
      <c r="H31" s="23">
        <f t="shared" si="6"/>
        <v>0</v>
      </c>
      <c r="I31" s="29">
        <f t="shared" si="2"/>
        <v>721.69502377648087</v>
      </c>
      <c r="J31" s="28">
        <f t="shared" si="7"/>
        <v>2261235.3929165113</v>
      </c>
      <c r="K31" s="27">
        <f>'JANUS NEXT 3'!B31</f>
        <v>0</v>
      </c>
      <c r="L31" s="27">
        <f>'JANUS NEXT 2'!B31</f>
        <v>0</v>
      </c>
      <c r="M31" s="27">
        <f>'JANUS NEXT 1'!$B31</f>
        <v>0</v>
      </c>
      <c r="N31" s="27">
        <f>'JANUS 260625'!$B31</f>
        <v>0</v>
      </c>
      <c r="O31" s="27">
        <f t="shared" si="3"/>
        <v>0</v>
      </c>
      <c r="P31" s="23">
        <f t="shared" si="4"/>
        <v>0</v>
      </c>
      <c r="Q31" s="33">
        <f t="shared" si="8"/>
        <v>0</v>
      </c>
      <c r="R31" s="29">
        <f t="shared" si="5"/>
        <v>772.15919981898071</v>
      </c>
      <c r="S31" s="28">
        <f t="shared" si="9"/>
        <v>0</v>
      </c>
    </row>
    <row r="32" spans="4:19" x14ac:dyDescent="0.3">
      <c r="D32" s="1">
        <f t="shared" si="10"/>
        <v>27</v>
      </c>
      <c r="E32" s="1">
        <f>Kossira!G32</f>
        <v>4.28125</v>
      </c>
      <c r="F32" s="23">
        <f>IF(Kossira!H32&lt;0.5,0,Kossira!H32)</f>
        <v>449.90763888037839</v>
      </c>
      <c r="G32" s="27">
        <f t="shared" si="1"/>
        <v>0</v>
      </c>
      <c r="H32" s="23">
        <f t="shared" si="6"/>
        <v>0</v>
      </c>
      <c r="I32" s="29">
        <f t="shared" si="2"/>
        <v>1377.9367385280216</v>
      </c>
      <c r="J32" s="28">
        <f t="shared" si="7"/>
        <v>619944.2645576715</v>
      </c>
      <c r="K32" s="27">
        <f>'JANUS NEXT 3'!B32</f>
        <v>0</v>
      </c>
      <c r="L32" s="27">
        <f>'JANUS NEXT 2'!B32</f>
        <v>0</v>
      </c>
      <c r="M32" s="27">
        <f>'JANUS NEXT 1'!$B32</f>
        <v>0</v>
      </c>
      <c r="N32" s="27">
        <f>'JANUS 260625'!$B32</f>
        <v>0</v>
      </c>
      <c r="O32" s="27">
        <f t="shared" si="3"/>
        <v>0</v>
      </c>
      <c r="P32" s="23">
        <f t="shared" si="4"/>
        <v>0</v>
      </c>
      <c r="Q32" s="33">
        <f t="shared" si="8"/>
        <v>0</v>
      </c>
      <c r="R32" s="29">
        <f t="shared" si="5"/>
        <v>1464.5725883107693</v>
      </c>
      <c r="S32" s="28">
        <f t="shared" si="9"/>
        <v>0</v>
      </c>
    </row>
    <row r="33" spans="4:19" x14ac:dyDescent="0.3">
      <c r="D33" s="1">
        <f t="shared" si="10"/>
        <v>28</v>
      </c>
      <c r="E33" s="1">
        <f>Kossira!G33</f>
        <v>4.59375</v>
      </c>
      <c r="F33" s="23">
        <f>IF(Kossira!H33&lt;0.5,0,Kossira!H33)</f>
        <v>32.749706636603719</v>
      </c>
      <c r="G33" s="27">
        <f t="shared" si="1"/>
        <v>0</v>
      </c>
      <c r="H33" s="23">
        <f t="shared" si="6"/>
        <v>0</v>
      </c>
      <c r="I33" s="29">
        <f t="shared" si="2"/>
        <v>2475.9764735743811</v>
      </c>
      <c r="J33" s="28">
        <f t="shared" si="7"/>
        <v>81087.503148693577</v>
      </c>
      <c r="K33" s="27">
        <f>'JANUS NEXT 3'!B33</f>
        <v>0</v>
      </c>
      <c r="L33" s="27">
        <f>'JANUS NEXT 2'!B33</f>
        <v>0</v>
      </c>
      <c r="M33" s="27">
        <f>'JANUS NEXT 1'!$B33</f>
        <v>0</v>
      </c>
      <c r="N33" s="27">
        <f>'JANUS 260625'!$B33</f>
        <v>0</v>
      </c>
      <c r="O33" s="27">
        <f t="shared" si="3"/>
        <v>0</v>
      </c>
      <c r="P33" s="23">
        <f t="shared" si="4"/>
        <v>0</v>
      </c>
      <c r="Q33" s="33">
        <f t="shared" si="8"/>
        <v>0</v>
      </c>
      <c r="R33" s="29">
        <f t="shared" si="5"/>
        <v>2617.3896430902159</v>
      </c>
      <c r="S33" s="28">
        <f t="shared" si="9"/>
        <v>0</v>
      </c>
    </row>
    <row r="34" spans="4:19" x14ac:dyDescent="0.3">
      <c r="D34" s="1">
        <f>D33+1</f>
        <v>29</v>
      </c>
      <c r="E34" s="1">
        <f>Kossira!G34</f>
        <v>4.90625</v>
      </c>
      <c r="F34" s="23">
        <f>IF(Kossira!H34&lt;0.5,0,Kossira!H34)</f>
        <v>0</v>
      </c>
      <c r="G34" s="27">
        <f t="shared" si="1"/>
        <v>0</v>
      </c>
      <c r="H34" s="23">
        <f t="shared" si="6"/>
        <v>0</v>
      </c>
      <c r="I34" s="29">
        <f t="shared" si="2"/>
        <v>4230.8816022704059</v>
      </c>
      <c r="J34" s="28">
        <f t="shared" si="7"/>
        <v>0</v>
      </c>
      <c r="K34" s="27">
        <f>'JANUS NEXT 3'!B34</f>
        <v>0</v>
      </c>
      <c r="L34" s="27">
        <f>'JANUS NEXT 2'!B34</f>
        <v>0</v>
      </c>
      <c r="M34" s="27">
        <f>'JANUS NEXT 1'!$B34</f>
        <v>0</v>
      </c>
      <c r="N34" s="27">
        <f>'JANUS 260625'!$B34</f>
        <v>0</v>
      </c>
      <c r="O34" s="27">
        <f t="shared" si="3"/>
        <v>0</v>
      </c>
      <c r="P34" s="23">
        <f t="shared" si="4"/>
        <v>0</v>
      </c>
      <c r="Q34" s="33">
        <f t="shared" si="8"/>
        <v>0</v>
      </c>
      <c r="R34" s="29">
        <f t="shared" si="5"/>
        <v>4452.2457400803532</v>
      </c>
      <c r="S34" s="28">
        <f t="shared" si="9"/>
        <v>0</v>
      </c>
    </row>
    <row r="35" spans="4:19" x14ac:dyDescent="0.3">
      <c r="D35" s="1">
        <f t="shared" si="10"/>
        <v>30</v>
      </c>
      <c r="E35" s="1">
        <f>Kossira!G35</f>
        <v>5.21875</v>
      </c>
      <c r="F35" s="23">
        <f>IF(Kossira!H35&lt;0.5,0,Kossira!H35)</f>
        <v>0</v>
      </c>
      <c r="G35" s="27">
        <f t="shared" si="1"/>
        <v>0</v>
      </c>
      <c r="H35" s="23">
        <f t="shared" si="6"/>
        <v>0</v>
      </c>
      <c r="I35" s="29">
        <f t="shared" si="2"/>
        <v>6930.0111423140606</v>
      </c>
      <c r="J35" s="28">
        <f t="shared" si="7"/>
        <v>0</v>
      </c>
      <c r="K35" s="27">
        <f>'JANUS NEXT 3'!B35</f>
        <v>0</v>
      </c>
      <c r="L35" s="27">
        <f>'JANUS NEXT 2'!B35</f>
        <v>0</v>
      </c>
      <c r="M35" s="27">
        <f>'JANUS NEXT 1'!$B35</f>
        <v>0</v>
      </c>
      <c r="N35" s="27">
        <f>'JANUS 260625'!$B35</f>
        <v>0</v>
      </c>
      <c r="O35" s="27">
        <f t="shared" si="3"/>
        <v>0</v>
      </c>
      <c r="P35" s="23">
        <f t="shared" si="4"/>
        <v>0</v>
      </c>
      <c r="Q35" s="33">
        <f t="shared" si="8"/>
        <v>0</v>
      </c>
      <c r="R35" s="29">
        <f t="shared" si="5"/>
        <v>7264.5230852184704</v>
      </c>
      <c r="S35" s="28">
        <f t="shared" si="9"/>
        <v>0</v>
      </c>
    </row>
    <row r="36" spans="4:19" x14ac:dyDescent="0.3">
      <c r="D36" s="1">
        <f t="shared" si="10"/>
        <v>31</v>
      </c>
      <c r="E36" s="1">
        <f>Kossira!G36</f>
        <v>5.53125</v>
      </c>
      <c r="F36" s="23">
        <f>IF(Kossira!H36&lt;0.5,0,Kossira!H36)</f>
        <v>0</v>
      </c>
      <c r="G36" s="27">
        <f t="shared" si="1"/>
        <v>0</v>
      </c>
      <c r="H36" s="23">
        <f t="shared" si="6"/>
        <v>0</v>
      </c>
      <c r="I36" s="29">
        <f t="shared" si="2"/>
        <v>10948.343143939986</v>
      </c>
      <c r="J36" s="28">
        <f t="shared" si="7"/>
        <v>0</v>
      </c>
      <c r="K36" s="27">
        <f>'JANUS NEXT 3'!B36</f>
        <v>0</v>
      </c>
      <c r="L36" s="27">
        <f>'JANUS NEXT 2'!B36</f>
        <v>0</v>
      </c>
      <c r="M36" s="27">
        <f>'JANUS NEXT 1'!$B36</f>
        <v>0</v>
      </c>
      <c r="N36" s="27">
        <f>'JANUS 260625'!$B36</f>
        <v>0</v>
      </c>
      <c r="O36" s="27">
        <f t="shared" si="3"/>
        <v>0</v>
      </c>
      <c r="P36" s="23">
        <f t="shared" si="4"/>
        <v>0</v>
      </c>
      <c r="Q36" s="33">
        <f t="shared" si="8"/>
        <v>0</v>
      </c>
      <c r="R36" s="29">
        <f t="shared" si="5"/>
        <v>11438.841849665225</v>
      </c>
      <c r="S36" s="28">
        <f t="shared" si="9"/>
        <v>0</v>
      </c>
    </row>
    <row r="37" spans="4:19" x14ac:dyDescent="0.3">
      <c r="D37" s="1">
        <f>D36+1</f>
        <v>32</v>
      </c>
      <c r="E37" s="1">
        <f>Kossira!G37</f>
        <v>5.84375</v>
      </c>
      <c r="F37" s="23">
        <f>IF(Kossira!H37&lt;0.5,0,Kossira!H37)</f>
        <v>0</v>
      </c>
      <c r="G37" s="27">
        <f t="shared" si="1"/>
        <v>0</v>
      </c>
      <c r="H37" s="23">
        <f t="shared" si="6"/>
        <v>0</v>
      </c>
      <c r="I37" s="29">
        <f t="shared" si="2"/>
        <v>16765.45946373414</v>
      </c>
      <c r="J37" s="28">
        <f t="shared" si="7"/>
        <v>0</v>
      </c>
      <c r="K37" s="27">
        <f>'JANUS NEXT 3'!B37</f>
        <v>0</v>
      </c>
      <c r="L37" s="27">
        <f>'JANUS NEXT 2'!B37</f>
        <v>0</v>
      </c>
      <c r="M37" s="27">
        <f>'JANUS NEXT 1'!$B37</f>
        <v>0</v>
      </c>
      <c r="N37" s="27">
        <f>'JANUS 260625'!$B37</f>
        <v>0</v>
      </c>
      <c r="O37" s="27">
        <f t="shared" si="3"/>
        <v>0</v>
      </c>
      <c r="P37" s="23">
        <f t="shared" si="4"/>
        <v>0</v>
      </c>
      <c r="Q37" s="33">
        <f t="shared" si="8"/>
        <v>0</v>
      </c>
      <c r="R37" s="29">
        <f t="shared" si="5"/>
        <v>17466.21208360797</v>
      </c>
      <c r="S37" s="28">
        <f t="shared" si="9"/>
        <v>0</v>
      </c>
    </row>
    <row r="38" spans="4:19" x14ac:dyDescent="0.3">
      <c r="H38" s="22">
        <f>SUM(H6:H37)</f>
        <v>6135.6875</v>
      </c>
      <c r="I38" s="22"/>
      <c r="J38" s="22"/>
      <c r="L38" s="22"/>
      <c r="M38" s="22"/>
      <c r="N38" s="22"/>
      <c r="O38" s="22"/>
      <c r="P38" s="22">
        <f>SUM(P6:P37)</f>
        <v>4325.1796875</v>
      </c>
      <c r="Q38" s="22"/>
      <c r="R38" s="22"/>
      <c r="S38" s="22"/>
    </row>
    <row r="39" spans="4:19" x14ac:dyDescent="0.3">
      <c r="H39" s="22">
        <f>SUM(G6:G37)</f>
        <v>5566</v>
      </c>
      <c r="I39" s="22"/>
      <c r="J39" s="22"/>
      <c r="L39" s="22"/>
      <c r="M39" s="22"/>
      <c r="N39" s="22"/>
      <c r="O39" s="22"/>
      <c r="P39" s="22">
        <f>SUM(O6:O37)</f>
        <v>4037.75</v>
      </c>
      <c r="Q39" s="22"/>
      <c r="R39" s="22"/>
      <c r="S39" s="22"/>
    </row>
  </sheetData>
  <mergeCells count="7">
    <mergeCell ref="B1:E1"/>
    <mergeCell ref="J3:J5"/>
    <mergeCell ref="S3:S5"/>
    <mergeCell ref="D3:D5"/>
    <mergeCell ref="E3:E5"/>
    <mergeCell ref="I3:I5"/>
    <mergeCell ref="R3:R5"/>
  </mergeCells>
  <pageMargins left="0.7" right="0.7" top="0.75" bottom="0.75" header="0.3" footer="0.3"/>
  <ignoredErrors>
    <ignoredError sqref="I6:I3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42DC-41DE-4158-BA31-9F68EAB78198}">
  <dimension ref="A1:S37"/>
  <sheetViews>
    <sheetView topLeftCell="A8" workbookViewId="0">
      <selection activeCell="C27" sqref="C27"/>
    </sheetView>
  </sheetViews>
  <sheetFormatPr defaultRowHeight="14.4" x14ac:dyDescent="0.3"/>
  <cols>
    <col min="1" max="1" width="17.21875" customWidth="1"/>
    <col min="2" max="2" width="14.77734375" customWidth="1"/>
  </cols>
  <sheetData>
    <row r="1" spans="1:19" x14ac:dyDescent="0.3">
      <c r="A1" t="s">
        <v>24</v>
      </c>
      <c r="B1" t="s">
        <v>35</v>
      </c>
    </row>
    <row r="2" spans="1:19" x14ac:dyDescent="0.3">
      <c r="A2" t="s">
        <v>27</v>
      </c>
      <c r="B2">
        <v>1000</v>
      </c>
    </row>
    <row r="3" spans="1:19" x14ac:dyDescent="0.3">
      <c r="A3" t="s">
        <v>26</v>
      </c>
      <c r="B3">
        <v>30430</v>
      </c>
    </row>
    <row r="4" spans="1:19" x14ac:dyDescent="0.3">
      <c r="A4" t="s">
        <v>25</v>
      </c>
      <c r="B4">
        <v>1.7</v>
      </c>
    </row>
    <row r="5" spans="1:19" x14ac:dyDescent="0.3">
      <c r="A5" t="s">
        <v>28</v>
      </c>
      <c r="B5" t="s">
        <v>29</v>
      </c>
    </row>
    <row r="6" spans="1:19" x14ac:dyDescent="0.3">
      <c r="A6">
        <v>-3.84</v>
      </c>
      <c r="B6">
        <v>0</v>
      </c>
      <c r="M6" t="s">
        <v>36</v>
      </c>
      <c r="N6">
        <v>2157.5</v>
      </c>
      <c r="O6" t="s">
        <v>37</v>
      </c>
      <c r="P6">
        <v>8307.5</v>
      </c>
      <c r="Q6" t="s">
        <v>38</v>
      </c>
      <c r="R6">
        <f>8307-2157</f>
        <v>6150</v>
      </c>
      <c r="S6">
        <f>R6/3600</f>
        <v>1.7083333333333333</v>
      </c>
    </row>
    <row r="7" spans="1:19" x14ac:dyDescent="0.3">
      <c r="A7">
        <v>-3.53</v>
      </c>
      <c r="B7">
        <v>0</v>
      </c>
      <c r="M7" t="s">
        <v>39</v>
      </c>
      <c r="N7" t="s">
        <v>40</v>
      </c>
      <c r="O7" t="s">
        <v>41</v>
      </c>
      <c r="P7" t="s">
        <v>42</v>
      </c>
    </row>
    <row r="8" spans="1:19" x14ac:dyDescent="0.3">
      <c r="A8">
        <v>-3.22</v>
      </c>
      <c r="B8">
        <v>0</v>
      </c>
      <c r="N8">
        <v>0.22</v>
      </c>
      <c r="O8">
        <v>14049</v>
      </c>
      <c r="P8">
        <f>ROUND(O8/6000*$S$6,0)</f>
        <v>4</v>
      </c>
      <c r="Q8">
        <f>P8/1.7*6000</f>
        <v>14117.64705882353</v>
      </c>
    </row>
    <row r="9" spans="1:19" x14ac:dyDescent="0.3">
      <c r="A9">
        <v>-2.91</v>
      </c>
      <c r="B9">
        <v>0</v>
      </c>
      <c r="N9">
        <v>0.53</v>
      </c>
      <c r="O9">
        <v>561956</v>
      </c>
      <c r="P9">
        <f t="shared" ref="P9:P14" si="0">ROUND(O9/6000*$S$6,0)</f>
        <v>160</v>
      </c>
      <c r="Q9">
        <f t="shared" ref="Q9:Q14" si="1">P9/1.7*6000</f>
        <v>564705.8823529412</v>
      </c>
    </row>
    <row r="10" spans="1:19" x14ac:dyDescent="0.3">
      <c r="A10">
        <v>-2.59</v>
      </c>
      <c r="B10">
        <v>0</v>
      </c>
      <c r="N10">
        <v>0.84</v>
      </c>
      <c r="O10">
        <v>11407703</v>
      </c>
      <c r="P10">
        <f t="shared" si="0"/>
        <v>3248</v>
      </c>
      <c r="Q10">
        <f t="shared" si="1"/>
        <v>11463529.411764707</v>
      </c>
    </row>
    <row r="11" spans="1:19" x14ac:dyDescent="0.3">
      <c r="A11">
        <v>-2.2799999999999998</v>
      </c>
      <c r="B11">
        <v>0</v>
      </c>
      <c r="N11">
        <v>1.1599999999999999</v>
      </c>
      <c r="O11">
        <v>10210034</v>
      </c>
      <c r="P11">
        <f t="shared" si="0"/>
        <v>2907</v>
      </c>
      <c r="Q11">
        <f t="shared" si="1"/>
        <v>10260000</v>
      </c>
    </row>
    <row r="12" spans="1:19" x14ac:dyDescent="0.3">
      <c r="A12">
        <v>-1.97</v>
      </c>
      <c r="B12">
        <v>0</v>
      </c>
      <c r="N12">
        <v>1.47</v>
      </c>
      <c r="O12">
        <v>3424418</v>
      </c>
      <c r="P12">
        <f t="shared" si="0"/>
        <v>975</v>
      </c>
      <c r="Q12">
        <f t="shared" si="1"/>
        <v>3441176.4705882352</v>
      </c>
    </row>
    <row r="13" spans="1:19" x14ac:dyDescent="0.3">
      <c r="A13">
        <v>-1.66</v>
      </c>
      <c r="B13">
        <v>0</v>
      </c>
      <c r="N13">
        <v>1.78</v>
      </c>
      <c r="O13">
        <v>263417</v>
      </c>
      <c r="P13">
        <f t="shared" si="0"/>
        <v>75</v>
      </c>
      <c r="Q13">
        <f t="shared" si="1"/>
        <v>264705.88235294115</v>
      </c>
    </row>
    <row r="14" spans="1:19" x14ac:dyDescent="0.3">
      <c r="A14">
        <v>-1.34</v>
      </c>
      <c r="B14">
        <v>0</v>
      </c>
      <c r="N14">
        <v>2.09</v>
      </c>
      <c r="O14">
        <v>24586</v>
      </c>
      <c r="P14">
        <f t="shared" si="0"/>
        <v>7</v>
      </c>
      <c r="Q14">
        <f t="shared" si="1"/>
        <v>24705.882352941178</v>
      </c>
    </row>
    <row r="15" spans="1:19" x14ac:dyDescent="0.3">
      <c r="A15">
        <v>-1.03</v>
      </c>
      <c r="B15">
        <v>0</v>
      </c>
    </row>
    <row r="16" spans="1:19" x14ac:dyDescent="0.3">
      <c r="A16">
        <v>-0.72</v>
      </c>
      <c r="B16">
        <v>0</v>
      </c>
    </row>
    <row r="17" spans="1:2" x14ac:dyDescent="0.3">
      <c r="A17">
        <v>-0.41</v>
      </c>
      <c r="B17">
        <v>0.1</v>
      </c>
    </row>
    <row r="18" spans="1:2" x14ac:dyDescent="0.3">
      <c r="A18">
        <v>-0.09</v>
      </c>
      <c r="B18">
        <v>2</v>
      </c>
    </row>
    <row r="19" spans="1:2" x14ac:dyDescent="0.3">
      <c r="A19">
        <v>0.22</v>
      </c>
      <c r="B19">
        <v>10</v>
      </c>
    </row>
    <row r="20" spans="1:2" x14ac:dyDescent="0.3">
      <c r="A20">
        <v>0.53</v>
      </c>
      <c r="B20">
        <v>100</v>
      </c>
    </row>
    <row r="21" spans="1:2" x14ac:dyDescent="0.3">
      <c r="A21">
        <v>0.84</v>
      </c>
      <c r="B21">
        <v>1600</v>
      </c>
    </row>
    <row r="22" spans="1:2" x14ac:dyDescent="0.3">
      <c r="A22">
        <v>1.1599999999999999</v>
      </c>
      <c r="B22">
        <v>1707</v>
      </c>
    </row>
    <row r="23" spans="1:2" x14ac:dyDescent="0.3">
      <c r="A23">
        <v>1.47</v>
      </c>
      <c r="B23">
        <v>525</v>
      </c>
    </row>
    <row r="24" spans="1:2" x14ac:dyDescent="0.3">
      <c r="A24">
        <v>1.78</v>
      </c>
      <c r="B24">
        <v>75</v>
      </c>
    </row>
    <row r="25" spans="1:2" x14ac:dyDescent="0.3">
      <c r="A25">
        <v>2.09</v>
      </c>
      <c r="B25">
        <v>12</v>
      </c>
    </row>
    <row r="26" spans="1:2" x14ac:dyDescent="0.3">
      <c r="A26">
        <v>2.41</v>
      </c>
      <c r="B26">
        <v>5</v>
      </c>
    </row>
    <row r="27" spans="1:2" x14ac:dyDescent="0.3">
      <c r="A27">
        <v>2.72</v>
      </c>
      <c r="B27">
        <v>1.5</v>
      </c>
    </row>
    <row r="28" spans="1:2" x14ac:dyDescent="0.3">
      <c r="A28">
        <v>3.03</v>
      </c>
      <c r="B28">
        <v>0.15</v>
      </c>
    </row>
    <row r="29" spans="1:2" x14ac:dyDescent="0.3">
      <c r="A29">
        <v>3.34</v>
      </c>
      <c r="B29">
        <v>0</v>
      </c>
    </row>
    <row r="30" spans="1:2" x14ac:dyDescent="0.3">
      <c r="A30">
        <v>3.66</v>
      </c>
      <c r="B30">
        <v>0</v>
      </c>
    </row>
    <row r="31" spans="1:2" x14ac:dyDescent="0.3">
      <c r="A31">
        <v>3.97</v>
      </c>
      <c r="B31">
        <v>0</v>
      </c>
    </row>
    <row r="32" spans="1:2" x14ac:dyDescent="0.3">
      <c r="A32">
        <v>4.28</v>
      </c>
      <c r="B32">
        <v>0</v>
      </c>
    </row>
    <row r="33" spans="1:2" x14ac:dyDescent="0.3">
      <c r="A33">
        <v>4.59</v>
      </c>
      <c r="B33">
        <v>0</v>
      </c>
    </row>
    <row r="34" spans="1:2" x14ac:dyDescent="0.3">
      <c r="A34">
        <v>4.91</v>
      </c>
      <c r="B34">
        <v>0</v>
      </c>
    </row>
    <row r="35" spans="1:2" x14ac:dyDescent="0.3">
      <c r="A35">
        <v>5.22</v>
      </c>
      <c r="B35">
        <v>0</v>
      </c>
    </row>
    <row r="36" spans="1:2" x14ac:dyDescent="0.3">
      <c r="A36">
        <v>5.53</v>
      </c>
      <c r="B36">
        <v>0</v>
      </c>
    </row>
    <row r="37" spans="1:2" x14ac:dyDescent="0.3">
      <c r="A37">
        <v>5.84</v>
      </c>
      <c r="B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C7AC-87D6-48FB-A66D-32323AA780F0}">
  <dimension ref="A1:B37"/>
  <sheetViews>
    <sheetView topLeftCell="A7" workbookViewId="0">
      <selection activeCell="B6" sqref="B6:B31"/>
    </sheetView>
  </sheetViews>
  <sheetFormatPr defaultRowHeight="14.4" x14ac:dyDescent="0.3"/>
  <cols>
    <col min="1" max="1" width="15.44140625" customWidth="1"/>
    <col min="2" max="2" width="21.33203125" customWidth="1"/>
  </cols>
  <sheetData>
    <row r="1" spans="1:2" x14ac:dyDescent="0.3">
      <c r="A1" t="s">
        <v>24</v>
      </c>
      <c r="B1" t="s">
        <v>31</v>
      </c>
    </row>
    <row r="2" spans="1:2" x14ac:dyDescent="0.3">
      <c r="A2" t="s">
        <v>27</v>
      </c>
      <c r="B2">
        <v>1000</v>
      </c>
    </row>
    <row r="3" spans="1:2" x14ac:dyDescent="0.3">
      <c r="A3" t="s">
        <v>26</v>
      </c>
      <c r="B3">
        <v>1000</v>
      </c>
    </row>
    <row r="4" spans="1:2" x14ac:dyDescent="0.3">
      <c r="A4" t="s">
        <v>25</v>
      </c>
      <c r="B4" s="4">
        <v>0</v>
      </c>
    </row>
    <row r="5" spans="1:2" x14ac:dyDescent="0.3">
      <c r="A5" t="s">
        <v>28</v>
      </c>
      <c r="B5" t="s">
        <v>29</v>
      </c>
    </row>
    <row r="6" spans="1:2" x14ac:dyDescent="0.3">
      <c r="A6">
        <v>-3.84</v>
      </c>
      <c r="B6">
        <v>0</v>
      </c>
    </row>
    <row r="7" spans="1:2" x14ac:dyDescent="0.3">
      <c r="A7">
        <v>-3.53</v>
      </c>
      <c r="B7">
        <v>0</v>
      </c>
    </row>
    <row r="8" spans="1:2" x14ac:dyDescent="0.3">
      <c r="A8">
        <v>-3.22</v>
      </c>
      <c r="B8">
        <v>0</v>
      </c>
    </row>
    <row r="9" spans="1:2" x14ac:dyDescent="0.3">
      <c r="A9">
        <v>-2.91</v>
      </c>
      <c r="B9">
        <v>0</v>
      </c>
    </row>
    <row r="10" spans="1:2" x14ac:dyDescent="0.3">
      <c r="A10">
        <v>-2.59</v>
      </c>
      <c r="B10">
        <v>0</v>
      </c>
    </row>
    <row r="11" spans="1:2" x14ac:dyDescent="0.3">
      <c r="A11">
        <v>-2.2799999999999998</v>
      </c>
      <c r="B11">
        <v>0</v>
      </c>
    </row>
    <row r="12" spans="1:2" x14ac:dyDescent="0.3">
      <c r="A12">
        <v>-1.97</v>
      </c>
      <c r="B12">
        <v>0</v>
      </c>
    </row>
    <row r="13" spans="1:2" x14ac:dyDescent="0.3">
      <c r="A13">
        <v>-1.66</v>
      </c>
      <c r="B13">
        <v>0</v>
      </c>
    </row>
    <row r="14" spans="1:2" x14ac:dyDescent="0.3">
      <c r="A14">
        <v>-1.34</v>
      </c>
      <c r="B14">
        <v>0</v>
      </c>
    </row>
    <row r="15" spans="1:2" x14ac:dyDescent="0.3">
      <c r="A15">
        <v>-1.03</v>
      </c>
      <c r="B15">
        <v>0</v>
      </c>
    </row>
    <row r="16" spans="1:2" x14ac:dyDescent="0.3">
      <c r="A16">
        <v>-0.72</v>
      </c>
      <c r="B16">
        <v>0</v>
      </c>
    </row>
    <row r="17" spans="1:2" x14ac:dyDescent="0.3">
      <c r="A17">
        <v>-0.41</v>
      </c>
      <c r="B17">
        <v>0</v>
      </c>
    </row>
    <row r="18" spans="1:2" x14ac:dyDescent="0.3">
      <c r="A18">
        <v>-0.09</v>
      </c>
      <c r="B18">
        <v>0</v>
      </c>
    </row>
    <row r="19" spans="1:2" x14ac:dyDescent="0.3">
      <c r="A19">
        <v>0.22</v>
      </c>
      <c r="B19">
        <v>0</v>
      </c>
    </row>
    <row r="20" spans="1:2" x14ac:dyDescent="0.3">
      <c r="A20">
        <v>0.53</v>
      </c>
      <c r="B20">
        <v>0</v>
      </c>
    </row>
    <row r="21" spans="1:2" x14ac:dyDescent="0.3">
      <c r="A21">
        <v>0.84</v>
      </c>
      <c r="B21">
        <v>0</v>
      </c>
    </row>
    <row r="22" spans="1:2" x14ac:dyDescent="0.3">
      <c r="A22">
        <v>1.1599999999999999</v>
      </c>
      <c r="B22">
        <v>0</v>
      </c>
    </row>
    <row r="23" spans="1:2" x14ac:dyDescent="0.3">
      <c r="A23">
        <v>1.47</v>
      </c>
      <c r="B23">
        <v>0</v>
      </c>
    </row>
    <row r="24" spans="1:2" x14ac:dyDescent="0.3">
      <c r="A24">
        <v>1.78</v>
      </c>
      <c r="B24">
        <v>0</v>
      </c>
    </row>
    <row r="25" spans="1:2" x14ac:dyDescent="0.3">
      <c r="A25">
        <v>2.09</v>
      </c>
      <c r="B25">
        <v>0</v>
      </c>
    </row>
    <row r="26" spans="1:2" x14ac:dyDescent="0.3">
      <c r="A26">
        <v>2.41</v>
      </c>
      <c r="B26">
        <v>0</v>
      </c>
    </row>
    <row r="27" spans="1:2" x14ac:dyDescent="0.3">
      <c r="A27">
        <v>2.72</v>
      </c>
      <c r="B27">
        <v>0</v>
      </c>
    </row>
    <row r="28" spans="1:2" x14ac:dyDescent="0.3">
      <c r="A28">
        <v>3.03</v>
      </c>
      <c r="B28">
        <v>0</v>
      </c>
    </row>
    <row r="29" spans="1:2" x14ac:dyDescent="0.3">
      <c r="A29">
        <v>3.34</v>
      </c>
      <c r="B29">
        <v>0</v>
      </c>
    </row>
    <row r="30" spans="1:2" x14ac:dyDescent="0.3">
      <c r="A30">
        <v>3.66</v>
      </c>
      <c r="B30">
        <v>0</v>
      </c>
    </row>
    <row r="31" spans="1:2" x14ac:dyDescent="0.3">
      <c r="A31">
        <v>3.97</v>
      </c>
      <c r="B31">
        <v>0</v>
      </c>
    </row>
    <row r="32" spans="1:2" x14ac:dyDescent="0.3">
      <c r="A32">
        <v>4.28</v>
      </c>
      <c r="B32">
        <v>0</v>
      </c>
    </row>
    <row r="33" spans="1:2" x14ac:dyDescent="0.3">
      <c r="A33">
        <v>4.59</v>
      </c>
      <c r="B33">
        <v>0</v>
      </c>
    </row>
    <row r="34" spans="1:2" x14ac:dyDescent="0.3">
      <c r="A34">
        <v>4.91</v>
      </c>
      <c r="B34">
        <v>0</v>
      </c>
    </row>
    <row r="35" spans="1:2" x14ac:dyDescent="0.3">
      <c r="A35">
        <v>5.22</v>
      </c>
      <c r="B35">
        <v>0</v>
      </c>
    </row>
    <row r="36" spans="1:2" x14ac:dyDescent="0.3">
      <c r="A36">
        <v>5.53</v>
      </c>
      <c r="B36">
        <v>0</v>
      </c>
    </row>
    <row r="37" spans="1:2" x14ac:dyDescent="0.3">
      <c r="A37">
        <v>5.84</v>
      </c>
      <c r="B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167B-101F-44A2-9BF4-C2171A0BB656}">
  <dimension ref="A1:B37"/>
  <sheetViews>
    <sheetView workbookViewId="0">
      <selection activeCell="B6" sqref="B6:B26"/>
    </sheetView>
  </sheetViews>
  <sheetFormatPr defaultRowHeight="14.4" x14ac:dyDescent="0.3"/>
  <cols>
    <col min="1" max="2" width="14.21875" customWidth="1"/>
  </cols>
  <sheetData>
    <row r="1" spans="1:2" x14ac:dyDescent="0.3">
      <c r="A1" t="s">
        <v>24</v>
      </c>
      <c r="B1" t="s">
        <v>32</v>
      </c>
    </row>
    <row r="2" spans="1:2" x14ac:dyDescent="0.3">
      <c r="A2" t="s">
        <v>27</v>
      </c>
      <c r="B2">
        <v>1000</v>
      </c>
    </row>
    <row r="3" spans="1:2" x14ac:dyDescent="0.3">
      <c r="A3" t="s">
        <v>26</v>
      </c>
      <c r="B3">
        <v>1000</v>
      </c>
    </row>
    <row r="4" spans="1:2" x14ac:dyDescent="0.3">
      <c r="A4" t="s">
        <v>25</v>
      </c>
      <c r="B4" s="4">
        <v>0</v>
      </c>
    </row>
    <row r="5" spans="1:2" x14ac:dyDescent="0.3">
      <c r="A5" t="s">
        <v>28</v>
      </c>
      <c r="B5" t="s">
        <v>29</v>
      </c>
    </row>
    <row r="6" spans="1:2" x14ac:dyDescent="0.3">
      <c r="A6">
        <v>-3.84</v>
      </c>
      <c r="B6">
        <v>0</v>
      </c>
    </row>
    <row r="7" spans="1:2" x14ac:dyDescent="0.3">
      <c r="A7">
        <v>-3.53</v>
      </c>
      <c r="B7">
        <v>0</v>
      </c>
    </row>
    <row r="8" spans="1:2" x14ac:dyDescent="0.3">
      <c r="A8">
        <v>-3.22</v>
      </c>
      <c r="B8">
        <v>0</v>
      </c>
    </row>
    <row r="9" spans="1:2" x14ac:dyDescent="0.3">
      <c r="A9">
        <v>-2.91</v>
      </c>
      <c r="B9">
        <v>0</v>
      </c>
    </row>
    <row r="10" spans="1:2" x14ac:dyDescent="0.3">
      <c r="A10">
        <v>-2.59</v>
      </c>
      <c r="B10">
        <v>0</v>
      </c>
    </row>
    <row r="11" spans="1:2" x14ac:dyDescent="0.3">
      <c r="A11">
        <v>-2.2799999999999998</v>
      </c>
      <c r="B11">
        <v>0</v>
      </c>
    </row>
    <row r="12" spans="1:2" x14ac:dyDescent="0.3">
      <c r="A12">
        <v>-1.97</v>
      </c>
      <c r="B12">
        <v>0</v>
      </c>
    </row>
    <row r="13" spans="1:2" x14ac:dyDescent="0.3">
      <c r="A13">
        <v>-1.66</v>
      </c>
      <c r="B13">
        <v>0</v>
      </c>
    </row>
    <row r="14" spans="1:2" x14ac:dyDescent="0.3">
      <c r="A14">
        <v>-1.34</v>
      </c>
      <c r="B14">
        <v>0</v>
      </c>
    </row>
    <row r="15" spans="1:2" x14ac:dyDescent="0.3">
      <c r="A15">
        <v>-1.03</v>
      </c>
      <c r="B15">
        <v>0</v>
      </c>
    </row>
    <row r="16" spans="1:2" x14ac:dyDescent="0.3">
      <c r="A16">
        <v>-0.72</v>
      </c>
      <c r="B16">
        <v>0</v>
      </c>
    </row>
    <row r="17" spans="1:2" x14ac:dyDescent="0.3">
      <c r="A17">
        <v>-0.41</v>
      </c>
      <c r="B17">
        <v>0</v>
      </c>
    </row>
    <row r="18" spans="1:2" x14ac:dyDescent="0.3">
      <c r="A18">
        <v>-0.09</v>
      </c>
      <c r="B18">
        <v>0</v>
      </c>
    </row>
    <row r="19" spans="1:2" x14ac:dyDescent="0.3">
      <c r="A19">
        <v>0.22</v>
      </c>
      <c r="B19">
        <v>0</v>
      </c>
    </row>
    <row r="20" spans="1:2" x14ac:dyDescent="0.3">
      <c r="A20">
        <v>0.53</v>
      </c>
      <c r="B20">
        <v>0</v>
      </c>
    </row>
    <row r="21" spans="1:2" x14ac:dyDescent="0.3">
      <c r="A21">
        <v>0.84</v>
      </c>
      <c r="B21">
        <v>0</v>
      </c>
    </row>
    <row r="22" spans="1:2" x14ac:dyDescent="0.3">
      <c r="A22">
        <v>1.1599999999999999</v>
      </c>
      <c r="B22">
        <v>0</v>
      </c>
    </row>
    <row r="23" spans="1:2" x14ac:dyDescent="0.3">
      <c r="A23">
        <v>1.47</v>
      </c>
      <c r="B23">
        <v>0</v>
      </c>
    </row>
    <row r="24" spans="1:2" x14ac:dyDescent="0.3">
      <c r="A24">
        <v>1.78</v>
      </c>
      <c r="B24">
        <v>0</v>
      </c>
    </row>
    <row r="25" spans="1:2" x14ac:dyDescent="0.3">
      <c r="A25">
        <v>2.09</v>
      </c>
      <c r="B25">
        <v>0</v>
      </c>
    </row>
    <row r="26" spans="1:2" x14ac:dyDescent="0.3">
      <c r="A26">
        <v>2.41</v>
      </c>
      <c r="B26">
        <v>0</v>
      </c>
    </row>
    <row r="27" spans="1:2" x14ac:dyDescent="0.3">
      <c r="A27">
        <v>2.72</v>
      </c>
      <c r="B27">
        <v>0</v>
      </c>
    </row>
    <row r="28" spans="1:2" x14ac:dyDescent="0.3">
      <c r="A28">
        <v>3.03</v>
      </c>
      <c r="B28">
        <v>0</v>
      </c>
    </row>
    <row r="29" spans="1:2" x14ac:dyDescent="0.3">
      <c r="A29">
        <v>3.34</v>
      </c>
      <c r="B29">
        <v>0</v>
      </c>
    </row>
    <row r="30" spans="1:2" x14ac:dyDescent="0.3">
      <c r="A30">
        <v>3.66</v>
      </c>
      <c r="B30">
        <v>0</v>
      </c>
    </row>
    <row r="31" spans="1:2" x14ac:dyDescent="0.3">
      <c r="A31">
        <v>3.97</v>
      </c>
      <c r="B31">
        <v>0</v>
      </c>
    </row>
    <row r="32" spans="1:2" x14ac:dyDescent="0.3">
      <c r="A32">
        <v>4.28</v>
      </c>
      <c r="B32">
        <v>0</v>
      </c>
    </row>
    <row r="33" spans="1:2" x14ac:dyDescent="0.3">
      <c r="A33">
        <v>4.59</v>
      </c>
      <c r="B33">
        <v>0</v>
      </c>
    </row>
    <row r="34" spans="1:2" x14ac:dyDescent="0.3">
      <c r="A34">
        <v>4.91</v>
      </c>
      <c r="B34">
        <v>0</v>
      </c>
    </row>
    <row r="35" spans="1:2" x14ac:dyDescent="0.3">
      <c r="A35">
        <v>5.22</v>
      </c>
      <c r="B35">
        <v>0</v>
      </c>
    </row>
    <row r="36" spans="1:2" x14ac:dyDescent="0.3">
      <c r="A36">
        <v>5.53</v>
      </c>
      <c r="B36">
        <v>0</v>
      </c>
    </row>
    <row r="37" spans="1:2" x14ac:dyDescent="0.3">
      <c r="A37">
        <v>5.84</v>
      </c>
      <c r="B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8E30-D56C-4FDE-BE89-D11C4F2FE6C6}">
  <dimension ref="A1:B37"/>
  <sheetViews>
    <sheetView topLeftCell="A8" workbookViewId="0">
      <selection activeCell="B6" sqref="B6:B31"/>
    </sheetView>
  </sheetViews>
  <sheetFormatPr defaultRowHeight="14.4" x14ac:dyDescent="0.3"/>
  <cols>
    <col min="1" max="1" width="16.6640625" customWidth="1"/>
    <col min="2" max="2" width="14.33203125" customWidth="1"/>
  </cols>
  <sheetData>
    <row r="1" spans="1:2" x14ac:dyDescent="0.3">
      <c r="A1" t="s">
        <v>24</v>
      </c>
      <c r="B1" t="s">
        <v>33</v>
      </c>
    </row>
    <row r="2" spans="1:2" x14ac:dyDescent="0.3">
      <c r="A2" t="s">
        <v>27</v>
      </c>
      <c r="B2">
        <v>1000</v>
      </c>
    </row>
    <row r="3" spans="1:2" x14ac:dyDescent="0.3">
      <c r="A3" t="s">
        <v>26</v>
      </c>
      <c r="B3">
        <v>1000</v>
      </c>
    </row>
    <row r="4" spans="1:2" x14ac:dyDescent="0.3">
      <c r="A4" t="s">
        <v>25</v>
      </c>
      <c r="B4" s="4">
        <v>0</v>
      </c>
    </row>
    <row r="5" spans="1:2" x14ac:dyDescent="0.3">
      <c r="A5" t="s">
        <v>20</v>
      </c>
      <c r="B5" t="s">
        <v>1</v>
      </c>
    </row>
    <row r="6" spans="1:2" x14ac:dyDescent="0.3">
      <c r="A6">
        <v>-3.84</v>
      </c>
      <c r="B6">
        <v>0</v>
      </c>
    </row>
    <row r="7" spans="1:2" x14ac:dyDescent="0.3">
      <c r="A7">
        <v>-3.53</v>
      </c>
      <c r="B7">
        <v>0</v>
      </c>
    </row>
    <row r="8" spans="1:2" x14ac:dyDescent="0.3">
      <c r="A8">
        <v>-3.22</v>
      </c>
      <c r="B8">
        <v>0</v>
      </c>
    </row>
    <row r="9" spans="1:2" x14ac:dyDescent="0.3">
      <c r="A9">
        <v>-2.91</v>
      </c>
      <c r="B9">
        <v>0</v>
      </c>
    </row>
    <row r="10" spans="1:2" x14ac:dyDescent="0.3">
      <c r="A10">
        <v>-2.59</v>
      </c>
      <c r="B10">
        <v>0</v>
      </c>
    </row>
    <row r="11" spans="1:2" x14ac:dyDescent="0.3">
      <c r="A11">
        <v>-2.2799999999999998</v>
      </c>
      <c r="B11">
        <v>0</v>
      </c>
    </row>
    <row r="12" spans="1:2" x14ac:dyDescent="0.3">
      <c r="A12">
        <v>-1.97</v>
      </c>
      <c r="B12">
        <v>0</v>
      </c>
    </row>
    <row r="13" spans="1:2" x14ac:dyDescent="0.3">
      <c r="A13">
        <v>-1.66</v>
      </c>
      <c r="B13">
        <v>0</v>
      </c>
    </row>
    <row r="14" spans="1:2" x14ac:dyDescent="0.3">
      <c r="A14">
        <v>-1.34</v>
      </c>
      <c r="B14">
        <v>0</v>
      </c>
    </row>
    <row r="15" spans="1:2" x14ac:dyDescent="0.3">
      <c r="A15">
        <v>-1.03</v>
      </c>
      <c r="B15">
        <v>0</v>
      </c>
    </row>
    <row r="16" spans="1:2" x14ac:dyDescent="0.3">
      <c r="A16">
        <v>-0.72</v>
      </c>
      <c r="B16">
        <v>0</v>
      </c>
    </row>
    <row r="17" spans="1:2" x14ac:dyDescent="0.3">
      <c r="A17">
        <v>-0.41</v>
      </c>
      <c r="B17">
        <v>0</v>
      </c>
    </row>
    <row r="18" spans="1:2" x14ac:dyDescent="0.3">
      <c r="A18">
        <v>-0.09</v>
      </c>
      <c r="B18">
        <v>0</v>
      </c>
    </row>
    <row r="19" spans="1:2" x14ac:dyDescent="0.3">
      <c r="A19">
        <v>0.22</v>
      </c>
      <c r="B19">
        <v>0</v>
      </c>
    </row>
    <row r="20" spans="1:2" x14ac:dyDescent="0.3">
      <c r="A20">
        <v>0.53</v>
      </c>
      <c r="B20">
        <v>0</v>
      </c>
    </row>
    <row r="21" spans="1:2" x14ac:dyDescent="0.3">
      <c r="A21">
        <v>0.84</v>
      </c>
      <c r="B21">
        <v>0</v>
      </c>
    </row>
    <row r="22" spans="1:2" x14ac:dyDescent="0.3">
      <c r="A22">
        <v>1.1599999999999999</v>
      </c>
      <c r="B22">
        <v>0</v>
      </c>
    </row>
    <row r="23" spans="1:2" x14ac:dyDescent="0.3">
      <c r="A23">
        <v>1.47</v>
      </c>
      <c r="B23">
        <v>0</v>
      </c>
    </row>
    <row r="24" spans="1:2" x14ac:dyDescent="0.3">
      <c r="A24">
        <v>1.78</v>
      </c>
      <c r="B24">
        <v>0</v>
      </c>
    </row>
    <row r="25" spans="1:2" x14ac:dyDescent="0.3">
      <c r="A25">
        <v>2.09</v>
      </c>
      <c r="B25">
        <v>0</v>
      </c>
    </row>
    <row r="26" spans="1:2" x14ac:dyDescent="0.3">
      <c r="A26">
        <v>2.41</v>
      </c>
      <c r="B26">
        <v>0</v>
      </c>
    </row>
    <row r="27" spans="1:2" x14ac:dyDescent="0.3">
      <c r="A27">
        <v>2.72</v>
      </c>
      <c r="B27">
        <v>0</v>
      </c>
    </row>
    <row r="28" spans="1:2" x14ac:dyDescent="0.3">
      <c r="A28">
        <v>3.03</v>
      </c>
      <c r="B28">
        <v>0</v>
      </c>
    </row>
    <row r="29" spans="1:2" x14ac:dyDescent="0.3">
      <c r="A29">
        <v>3.34</v>
      </c>
      <c r="B29">
        <v>0</v>
      </c>
    </row>
    <row r="30" spans="1:2" x14ac:dyDescent="0.3">
      <c r="A30">
        <v>3.66</v>
      </c>
      <c r="B30">
        <v>0</v>
      </c>
    </row>
    <row r="31" spans="1:2" x14ac:dyDescent="0.3">
      <c r="A31">
        <v>3.97</v>
      </c>
      <c r="B31">
        <v>0</v>
      </c>
    </row>
    <row r="32" spans="1:2" x14ac:dyDescent="0.3">
      <c r="A32">
        <v>4.28</v>
      </c>
      <c r="B32">
        <v>0</v>
      </c>
    </row>
    <row r="33" spans="1:2" x14ac:dyDescent="0.3">
      <c r="A33">
        <v>4.59</v>
      </c>
      <c r="B33">
        <v>0</v>
      </c>
    </row>
    <row r="34" spans="1:2" x14ac:dyDescent="0.3">
      <c r="A34">
        <v>4.91</v>
      </c>
      <c r="B34">
        <v>0</v>
      </c>
    </row>
    <row r="35" spans="1:2" x14ac:dyDescent="0.3">
      <c r="A35">
        <v>5.22</v>
      </c>
      <c r="B35">
        <v>0</v>
      </c>
    </row>
    <row r="36" spans="1:2" x14ac:dyDescent="0.3">
      <c r="A36">
        <v>5.53</v>
      </c>
      <c r="B36">
        <v>0</v>
      </c>
    </row>
    <row r="37" spans="1:2" x14ac:dyDescent="0.3">
      <c r="A37">
        <v>5.84</v>
      </c>
      <c r="B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3D95-0373-4097-B7BB-2C996E467B12}">
  <dimension ref="A1:AC73"/>
  <sheetViews>
    <sheetView workbookViewId="0"/>
  </sheetViews>
  <sheetFormatPr defaultRowHeight="14.4" x14ac:dyDescent="0.3"/>
  <cols>
    <col min="8" max="8" width="17.33203125" customWidth="1"/>
    <col min="17" max="17" width="10.77734375" customWidth="1"/>
  </cols>
  <sheetData>
    <row r="1" spans="1:29" ht="15" thickBot="1" x14ac:dyDescent="0.35"/>
    <row r="2" spans="1:29" x14ac:dyDescent="0.3">
      <c r="J2" s="9"/>
      <c r="K2" s="10"/>
      <c r="L2" s="10"/>
      <c r="M2" s="10"/>
      <c r="N2" s="10"/>
      <c r="O2" s="10"/>
      <c r="P2" s="10"/>
      <c r="Q2" s="10"/>
      <c r="R2" s="10"/>
      <c r="S2" s="45" t="s">
        <v>15</v>
      </c>
      <c r="T2" s="45"/>
      <c r="U2" s="45"/>
      <c r="V2" s="45"/>
      <c r="W2" s="10"/>
      <c r="X2" s="10"/>
      <c r="Y2" s="10"/>
      <c r="Z2" s="10"/>
      <c r="AA2" s="10"/>
      <c r="AB2" s="11"/>
    </row>
    <row r="3" spans="1:29" x14ac:dyDescent="0.3">
      <c r="A3" s="21" t="s">
        <v>7</v>
      </c>
      <c r="B3">
        <v>32</v>
      </c>
      <c r="D3" s="43" t="s">
        <v>9</v>
      </c>
      <c r="E3" s="43" t="s">
        <v>10</v>
      </c>
      <c r="F3" s="43" t="s">
        <v>11</v>
      </c>
      <c r="G3" s="43" t="s">
        <v>12</v>
      </c>
      <c r="H3" s="46" t="s">
        <v>14</v>
      </c>
      <c r="I3" s="8"/>
      <c r="J3" s="12"/>
      <c r="K3" s="42" t="s">
        <v>13</v>
      </c>
      <c r="L3" s="42"/>
      <c r="M3" s="14"/>
      <c r="N3" s="14"/>
      <c r="AB3" s="13"/>
    </row>
    <row r="4" spans="1:29" x14ac:dyDescent="0.3">
      <c r="A4" s="21" t="s">
        <v>6</v>
      </c>
      <c r="B4">
        <v>-4</v>
      </c>
      <c r="D4" s="43"/>
      <c r="E4" s="43"/>
      <c r="F4" s="43"/>
      <c r="G4" s="43"/>
      <c r="H4" s="46"/>
      <c r="I4" s="8"/>
      <c r="J4" s="12"/>
      <c r="K4" s="42"/>
      <c r="L4" s="42"/>
      <c r="M4" s="14"/>
      <c r="N4" s="14"/>
      <c r="AA4" s="44" t="s">
        <v>4</v>
      </c>
      <c r="AB4" s="20"/>
      <c r="AC4" s="3"/>
    </row>
    <row r="5" spans="1:29" x14ac:dyDescent="0.3">
      <c r="A5" s="21" t="s">
        <v>5</v>
      </c>
      <c r="B5">
        <v>6</v>
      </c>
      <c r="D5" s="43"/>
      <c r="E5" s="43"/>
      <c r="F5" s="43"/>
      <c r="G5" s="43"/>
      <c r="H5" s="46"/>
      <c r="I5" s="8"/>
      <c r="J5" s="12"/>
      <c r="K5" s="19" t="s">
        <v>0</v>
      </c>
      <c r="L5" s="19" t="s">
        <v>1</v>
      </c>
      <c r="AA5" s="44"/>
      <c r="AB5" s="20"/>
      <c r="AC5" s="3"/>
    </row>
    <row r="6" spans="1:29" x14ac:dyDescent="0.3">
      <c r="D6" s="1">
        <v>1</v>
      </c>
      <c r="E6" s="1">
        <f t="shared" ref="E6:E37" si="0">$B$4+(D6-1)*$B$7</f>
        <v>-4</v>
      </c>
      <c r="F6" s="1">
        <f t="shared" ref="F6:F37" si="1">$B$4+(D6)*$B$7</f>
        <v>-3.6875</v>
      </c>
      <c r="G6" s="1">
        <f>(E6+F6)/2</f>
        <v>-3.84375</v>
      </c>
      <c r="H6" s="28" cm="1">
        <f t="array" ref="H6">IF(OR(G6&lt;$K$6,G6&gt;$K$26),0.1,10^(LOG10(INDEX($L$6:$L$26,MATCH(G6,$K$6:$K$26,1)))+(G6-INDEX($K$6:$K$26,MATCH(G6,$K$6:$K$26,1)))*(LOG10(INDEX($L$6:$L$26,MATCH(G6,$K$6:$K$26,1)+1))-LOG10(INDEX($L$6:$L$26,MATCH(G6,$K$6:$K$26,1))))/(INDEX($K$6:$K$26,MATCH(G6,$K$6:$K$26,1)+1)-INDEX($K$6:$K$26,MATCH(G6,$K$6:$K$26,1)))))</f>
        <v>0.1</v>
      </c>
      <c r="J6" s="12"/>
      <c r="K6" s="1">
        <v>-2.5392999999999999</v>
      </c>
      <c r="L6" s="2">
        <v>1.0205</v>
      </c>
      <c r="Q6" s="4">
        <f>K26*L26</f>
        <v>25.368725250000001</v>
      </c>
      <c r="S6" s="6"/>
      <c r="U6" s="15"/>
      <c r="AA6" s="44"/>
      <c r="AB6" s="20"/>
      <c r="AC6" s="3"/>
    </row>
    <row r="7" spans="1:29" x14ac:dyDescent="0.3">
      <c r="A7" s="21" t="s">
        <v>8</v>
      </c>
      <c r="B7">
        <f>(B5-B4)/B3</f>
        <v>0.3125</v>
      </c>
      <c r="D7" s="1">
        <f>D6+1</f>
        <v>2</v>
      </c>
      <c r="E7" s="1">
        <f t="shared" si="0"/>
        <v>-3.6875</v>
      </c>
      <c r="F7" s="1">
        <f t="shared" si="1"/>
        <v>-3.375</v>
      </c>
      <c r="G7" s="1">
        <f t="shared" ref="G7:G37" si="2">(E7+F7)/2</f>
        <v>-3.53125</v>
      </c>
      <c r="H7" s="28" cm="1">
        <f t="array" ref="H7">IF(OR(G7&lt;$K$6,G7&gt;$K$26),0.1,10^(LOG10(INDEX($L$6:$L$26,MATCH(G7,$K$6:$K$26,1)))+(G7-INDEX($K$6:$K$26,MATCH(G7,$K$6:$K$26,1)))*(LOG10(INDEX($L$6:$L$26,MATCH(G7,$K$6:$K$26,1)+1))-LOG10(INDEX($L$6:$L$26,MATCH(G7,$K$6:$K$26,1))))/(INDEX($K$6:$K$26,MATCH(G7,$K$6:$K$26,1)+1)-INDEX($K$6:$K$26,MATCH(G7,$K$6:$K$26,1)))))</f>
        <v>0.1</v>
      </c>
      <c r="J7" s="12"/>
      <c r="K7" s="1">
        <v>-2.2021999999999999</v>
      </c>
      <c r="L7" s="2">
        <v>10.751899999999999</v>
      </c>
      <c r="Q7" s="4">
        <f>K25*L25</f>
        <v>626.96457829999986</v>
      </c>
      <c r="S7" s="6"/>
      <c r="U7" s="15"/>
      <c r="AA7" s="44"/>
      <c r="AB7" s="13"/>
    </row>
    <row r="8" spans="1:29" x14ac:dyDescent="0.3">
      <c r="D8" s="1">
        <f t="shared" ref="D8:D33" si="3">D7+1</f>
        <v>3</v>
      </c>
      <c r="E8" s="1">
        <f t="shared" si="0"/>
        <v>-3.375</v>
      </c>
      <c r="F8" s="1">
        <f t="shared" si="1"/>
        <v>-3.0625</v>
      </c>
      <c r="G8" s="1">
        <f t="shared" si="2"/>
        <v>-3.21875</v>
      </c>
      <c r="H8" s="28" cm="1">
        <f t="array" ref="H8">IF(OR(G8&lt;$K$6,G8&gt;$K$26),0.1,10^(LOG10(INDEX($L$6:$L$26,MATCH(G8,$K$6:$K$26,1)))+(G8-INDEX($K$6:$K$26,MATCH(G8,$K$6:$K$26,1)))*(LOG10(INDEX($L$6:$L$26,MATCH(G8,$K$6:$K$26,1)+1))-LOG10(INDEX($L$6:$L$26,MATCH(G8,$K$6:$K$26,1))))/(INDEX($K$6:$K$26,MATCH(G8,$K$6:$K$26,1)+1)-INDEX($K$6:$K$26,MATCH(G8,$K$6:$K$26,1)))))</f>
        <v>0.1</v>
      </c>
      <c r="J8" s="12"/>
      <c r="K8" s="1">
        <v>-1.7903</v>
      </c>
      <c r="L8" s="2">
        <v>141.62289999999999</v>
      </c>
      <c r="Q8" s="4">
        <f>K24*L24</f>
        <v>9689.3969675999997</v>
      </c>
      <c r="S8" s="6"/>
      <c r="U8" s="15"/>
      <c r="AB8" s="13"/>
    </row>
    <row r="9" spans="1:29" x14ac:dyDescent="0.3">
      <c r="D9" s="1">
        <f t="shared" si="3"/>
        <v>4</v>
      </c>
      <c r="E9" s="1">
        <f t="shared" si="0"/>
        <v>-3.0625</v>
      </c>
      <c r="F9" s="1">
        <f t="shared" si="1"/>
        <v>-2.75</v>
      </c>
      <c r="G9" s="1">
        <f t="shared" si="2"/>
        <v>-2.90625</v>
      </c>
      <c r="H9" s="28" cm="1">
        <f t="array" ref="H9">IF(OR(G9&lt;$K$6,G9&gt;$K$26),0.1,10^(LOG10(INDEX($L$6:$L$26,MATCH(G9,$K$6:$K$26,1)))+(G9-INDEX($K$6:$K$26,MATCH(G9,$K$6:$K$26,1)))*(LOG10(INDEX($L$6:$L$26,MATCH(G9,$K$6:$K$26,1)+1))-LOG10(INDEX($L$6:$L$26,MATCH(G9,$K$6:$K$26,1))))/(INDEX($K$6:$K$26,MATCH(G9,$K$6:$K$26,1)+1)-INDEX($K$6:$K$26,MATCH(G9,$K$6:$K$26,1)))))</f>
        <v>0.1</v>
      </c>
      <c r="J9" s="12"/>
      <c r="K9" s="1">
        <v>-1.4345000000000001</v>
      </c>
      <c r="L9" s="2">
        <v>880.20609999999999</v>
      </c>
      <c r="Q9" s="4">
        <f>K23*L23</f>
        <v>25154.315902920003</v>
      </c>
      <c r="S9" s="6"/>
      <c r="U9" s="15"/>
      <c r="AB9" s="13"/>
    </row>
    <row r="10" spans="1:29" x14ac:dyDescent="0.3">
      <c r="D10" s="1">
        <f t="shared" si="3"/>
        <v>5</v>
      </c>
      <c r="E10" s="1">
        <f t="shared" si="0"/>
        <v>-2.75</v>
      </c>
      <c r="F10" s="1">
        <f t="shared" si="1"/>
        <v>-2.4375</v>
      </c>
      <c r="G10" s="1">
        <f t="shared" si="2"/>
        <v>-2.59375</v>
      </c>
      <c r="H10" s="28" cm="1">
        <f t="array" ref="H10">IF(OR(G10&lt;$K$6,G10&gt;$K$26),0.1,10^(LOG10(INDEX($L$6:$L$26,MATCH(G10,$K$6:$K$26,1)))+(G10-INDEX($K$6:$K$26,MATCH(G10,$K$6:$K$26,1)))*(LOG10(INDEX($L$6:$L$26,MATCH(G10,$K$6:$K$26,1)+1))-LOG10(INDEX($L$6:$L$26,MATCH(G10,$K$6:$K$26,1))))/(INDEX($K$6:$K$26,MATCH(G10,$K$6:$K$26,1)+1)-INDEX($K$6:$K$26,MATCH(G10,$K$6:$K$26,1)))))</f>
        <v>0.1</v>
      </c>
      <c r="J10" s="12"/>
      <c r="K10" s="1">
        <v>-1.0599000000000001</v>
      </c>
      <c r="L10" s="2">
        <v>2799.6469999999999</v>
      </c>
      <c r="Q10" s="4">
        <f>K22*L22</f>
        <v>36566.381348860006</v>
      </c>
      <c r="S10" s="6"/>
      <c r="U10" s="15"/>
      <c r="AB10" s="13"/>
    </row>
    <row r="11" spans="1:29" x14ac:dyDescent="0.3">
      <c r="D11" s="1">
        <f t="shared" si="3"/>
        <v>6</v>
      </c>
      <c r="E11" s="1">
        <f t="shared" si="0"/>
        <v>-2.4375</v>
      </c>
      <c r="F11" s="1">
        <f t="shared" si="1"/>
        <v>-2.125</v>
      </c>
      <c r="G11" s="1">
        <f t="shared" si="2"/>
        <v>-2.28125</v>
      </c>
      <c r="H11" s="28" cm="1">
        <f t="array" ref="H11">IF(OR(G11&lt;$K$6,G11&gt;$K$26),0.1,10^(LOG10(INDEX($L$6:$L$26,MATCH(G11,$K$6:$K$26,1)))+(G11-INDEX($K$6:$K$26,MATCH(G11,$K$6:$K$26,1)))*(LOG10(INDEX($L$6:$L$26,MATCH(G11,$K$6:$K$26,1)+1))-LOG10(INDEX($L$6:$L$26,MATCH(G11,$K$6:$K$26,1))))/(INDEX($K$6:$K$26,MATCH(G11,$K$6:$K$26,1)+1)-INDEX($K$6:$K$26,MATCH(G11,$K$6:$K$26,1)))))</f>
        <v>6.1896833511812508</v>
      </c>
      <c r="J11" s="12"/>
      <c r="K11" s="1">
        <v>-0.70409999999999995</v>
      </c>
      <c r="L11" s="2">
        <v>6305.915</v>
      </c>
      <c r="Q11" s="4">
        <f>K21*L21</f>
        <v>49937.609836799995</v>
      </c>
      <c r="S11" s="6"/>
      <c r="U11" s="15"/>
      <c r="AB11" s="13"/>
    </row>
    <row r="12" spans="1:29" x14ac:dyDescent="0.3">
      <c r="D12" s="1">
        <f t="shared" si="3"/>
        <v>7</v>
      </c>
      <c r="E12" s="1">
        <f t="shared" si="0"/>
        <v>-2.125</v>
      </c>
      <c r="F12" s="1">
        <f t="shared" si="1"/>
        <v>-1.8125</v>
      </c>
      <c r="G12" s="1">
        <f t="shared" si="2"/>
        <v>-1.96875</v>
      </c>
      <c r="H12" s="28" cm="1">
        <f t="array" ref="H12">IF(OR(G12&lt;$K$6,G12&gt;$K$26),0.1,10^(LOG10(INDEX($L$6:$L$26,MATCH(G12,$K$6:$K$26,1)))+(G12-INDEX($K$6:$K$26,MATCH(G12,$K$6:$K$26,1)))*(LOG10(INDEX($L$6:$L$26,MATCH(G12,$K$6:$K$26,1)+1))-LOG10(INDEX($L$6:$L$26,MATCH(G12,$K$6:$K$26,1))))/(INDEX($K$6:$K$26,MATCH(G12,$K$6:$K$26,1)+1)-INDEX($K$6:$K$26,MATCH(G12,$K$6:$K$26,1)))))</f>
        <v>46.351233672718344</v>
      </c>
      <c r="J12" s="12"/>
      <c r="K12" s="1">
        <v>-0.36699999999999999</v>
      </c>
      <c r="L12" s="2">
        <v>11593.9584</v>
      </c>
      <c r="Q12" s="4">
        <f>K20*L20</f>
        <v>83392.272219410006</v>
      </c>
      <c r="S12" s="6"/>
      <c r="U12" s="15"/>
      <c r="AB12" s="13"/>
    </row>
    <row r="13" spans="1:29" x14ac:dyDescent="0.3">
      <c r="D13" s="1">
        <f t="shared" si="3"/>
        <v>8</v>
      </c>
      <c r="E13" s="1">
        <f t="shared" si="0"/>
        <v>-1.8125</v>
      </c>
      <c r="F13" s="1">
        <f t="shared" si="1"/>
        <v>-1.5</v>
      </c>
      <c r="G13" s="1">
        <f t="shared" si="2"/>
        <v>-1.65625</v>
      </c>
      <c r="H13" s="28" cm="1">
        <f t="array" ref="H13">IF(OR(G13&lt;$K$6,G13&gt;$K$26),0.1,10^(LOG10(INDEX($L$6:$L$26,MATCH(G13,$K$6:$K$26,1)))+(G13-INDEX($K$6:$K$26,MATCH(G13,$K$6:$K$26,1)))*(LOG10(INDEX($L$6:$L$26,MATCH(G13,$K$6:$K$26,1)+1))-LOG10(INDEX($L$6:$L$26,MATCH(G13,$K$6:$K$26,1))))/(INDEX($K$6:$K$26,MATCH(G13,$K$6:$K$26,1)+1)-INDEX($K$6:$K$26,MATCH(G13,$K$6:$K$26,1)))))</f>
        <v>281.88459796519396</v>
      </c>
      <c r="J13" s="12"/>
      <c r="K13" s="1">
        <v>7.4999999999999997E-3</v>
      </c>
      <c r="L13" s="2">
        <v>26649.7228</v>
      </c>
      <c r="Q13" s="4">
        <f>K19*L19</f>
        <v>198055.27753680001</v>
      </c>
      <c r="S13" s="6"/>
      <c r="U13" s="15"/>
      <c r="AB13" s="13"/>
    </row>
    <row r="14" spans="1:29" x14ac:dyDescent="0.3">
      <c r="D14" s="1">
        <f t="shared" si="3"/>
        <v>9</v>
      </c>
      <c r="E14" s="1">
        <f t="shared" si="0"/>
        <v>-1.5</v>
      </c>
      <c r="F14" s="1">
        <f t="shared" si="1"/>
        <v>-1.1875</v>
      </c>
      <c r="G14" s="1">
        <f t="shared" si="2"/>
        <v>-1.34375</v>
      </c>
      <c r="H14" s="28" cm="1">
        <f t="array" ref="H14">IF(OR(G14&lt;$K$6,G14&gt;$K$26),0.1,10^(LOG10(INDEX($L$6:$L$26,MATCH(G14,$K$6:$K$26,1)))+(G14-INDEX($K$6:$K$26,MATCH(G14,$K$6:$K$26,1)))*(LOG10(INDEX($L$6:$L$26,MATCH(G14,$K$6:$K$26,1)+1))-LOG10(INDEX($L$6:$L$26,MATCH(G14,$K$6:$K$26,1))))/(INDEX($K$6:$K$26,MATCH(G14,$K$6:$K$26,1)+1)-INDEX($K$6:$K$26,MATCH(G14,$K$6:$K$26,1)))))</f>
        <v>1164.9943083778039</v>
      </c>
      <c r="J14" s="12"/>
      <c r="K14" s="1">
        <v>0.38200000000000001</v>
      </c>
      <c r="L14" s="2">
        <v>466407.73369999998</v>
      </c>
      <c r="Q14" s="4">
        <f>K18*L18</f>
        <v>932147.97950068</v>
      </c>
      <c r="S14" s="6"/>
      <c r="U14" s="15"/>
      <c r="AB14" s="13"/>
    </row>
    <row r="15" spans="1:29" x14ac:dyDescent="0.3">
      <c r="D15" s="1">
        <f t="shared" si="3"/>
        <v>10</v>
      </c>
      <c r="E15" s="1">
        <f t="shared" si="0"/>
        <v>-1.1875</v>
      </c>
      <c r="F15" s="1">
        <f t="shared" si="1"/>
        <v>-0.875</v>
      </c>
      <c r="G15" s="1">
        <f t="shared" si="2"/>
        <v>-1.03125</v>
      </c>
      <c r="H15" s="28" cm="1">
        <f t="array" ref="H15">IF(OR(G15&lt;$K$6,G15&gt;$K$26),0.1,10^(LOG10(INDEX($L$6:$L$26,MATCH(G15,$K$6:$K$26,1)))+(G15-INDEX($K$6:$K$26,MATCH(G15,$K$6:$K$26,1)))*(LOG10(INDEX($L$6:$L$26,MATCH(G15,$K$6:$K$26,1)+1))-LOG10(INDEX($L$6:$L$26,MATCH(G15,$K$6:$K$26,1))))/(INDEX($K$6:$K$26,MATCH(G15,$K$6:$K$26,1)+1)-INDEX($K$6:$K$26,MATCH(G15,$K$6:$K$26,1)))))</f>
        <v>2988.816232787914</v>
      </c>
      <c r="J15" s="12"/>
      <c r="K15" s="1">
        <v>0.73780000000000001</v>
      </c>
      <c r="L15" s="2">
        <v>6663119.1878000004</v>
      </c>
      <c r="Q15" s="4">
        <f>K17*L17</f>
        <v>6211386.6236810507</v>
      </c>
      <c r="S15" s="6"/>
      <c r="U15" s="15"/>
      <c r="AB15" s="13"/>
    </row>
    <row r="16" spans="1:29" x14ac:dyDescent="0.3">
      <c r="D16" s="1">
        <f t="shared" si="3"/>
        <v>11</v>
      </c>
      <c r="E16" s="1">
        <f t="shared" si="0"/>
        <v>-0.875</v>
      </c>
      <c r="F16" s="1">
        <f t="shared" si="1"/>
        <v>-0.5625</v>
      </c>
      <c r="G16" s="1">
        <f t="shared" si="2"/>
        <v>-0.71875</v>
      </c>
      <c r="H16" s="28" cm="1">
        <f t="array" ref="H16">IF(OR(G16&lt;$K$6,G16&gt;$K$26),0.1,10^(LOG10(INDEX($L$6:$L$26,MATCH(G16,$K$6:$K$26,1)))+(G16-INDEX($K$6:$K$26,MATCH(G16,$K$6:$K$26,1)))*(LOG10(INDEX($L$6:$L$26,MATCH(G16,$K$6:$K$26,1)+1))-LOG10(INDEX($L$6:$L$26,MATCH(G16,$K$6:$K$26,1))))/(INDEX($K$6:$K$26,MATCH(G16,$K$6:$K$26,1)+1)-INDEX($K$6:$K$26,MATCH(G16,$K$6:$K$26,1)))))</f>
        <v>6098.5701774368081</v>
      </c>
      <c r="J16" s="12"/>
      <c r="K16" s="1">
        <v>1.1124000000000001</v>
      </c>
      <c r="L16" s="2">
        <v>6529222.3858000003</v>
      </c>
      <c r="Q16" s="4">
        <f>K16*L16</f>
        <v>7263106.9819639204</v>
      </c>
      <c r="S16" s="6"/>
      <c r="U16" s="15"/>
      <c r="AB16" s="13"/>
    </row>
    <row r="17" spans="4:28" x14ac:dyDescent="0.3">
      <c r="D17" s="1">
        <f t="shared" si="3"/>
        <v>12</v>
      </c>
      <c r="E17" s="1">
        <f t="shared" si="0"/>
        <v>-0.5625</v>
      </c>
      <c r="F17" s="1">
        <f t="shared" si="1"/>
        <v>-0.25</v>
      </c>
      <c r="G17" s="1">
        <f t="shared" si="2"/>
        <v>-0.40625</v>
      </c>
      <c r="H17" s="28" cm="1">
        <f t="array" ref="H17">IF(OR(G17&lt;$K$6,G17&gt;$K$26),0.1,10^(LOG10(INDEX($L$6:$L$26,MATCH(G17,$K$6:$K$26,1)))+(G17-INDEX($K$6:$K$26,MATCH(G17,$K$6:$K$26,1)))*(LOG10(INDEX($L$6:$L$26,MATCH(G17,$K$6:$K$26,1)+1))-LOG10(INDEX($L$6:$L$26,MATCH(G17,$K$6:$K$26,1))))/(INDEX($K$6:$K$26,MATCH(G17,$K$6:$K$26,1)+1)-INDEX($K$6:$K$26,MATCH(G17,$K$6:$K$26,1)))))</f>
        <v>10800.323747272461</v>
      </c>
      <c r="J17" s="12"/>
      <c r="K17" s="1">
        <v>1.4869000000000001</v>
      </c>
      <c r="L17" s="2">
        <v>4177407.1044999999</v>
      </c>
      <c r="Q17" s="4">
        <f>K15*L15</f>
        <v>4916049.3367588408</v>
      </c>
      <c r="S17" s="6"/>
      <c r="U17" s="15"/>
      <c r="AB17" s="13"/>
    </row>
    <row r="18" spans="4:28" x14ac:dyDescent="0.3">
      <c r="D18" s="1">
        <f t="shared" si="3"/>
        <v>13</v>
      </c>
      <c r="E18" s="1">
        <f t="shared" si="0"/>
        <v>-0.25</v>
      </c>
      <c r="F18" s="1">
        <f t="shared" si="1"/>
        <v>6.25E-2</v>
      </c>
      <c r="G18" s="1">
        <f t="shared" si="2"/>
        <v>-9.375E-2</v>
      </c>
      <c r="H18" s="28" cm="1">
        <f t="array" ref="H18">IF(OR(G18&lt;$K$6,G18&gt;$K$26),0.1,10^(LOG10(INDEX($L$6:$L$26,MATCH(G18,$K$6:$K$26,1)))+(G18-INDEX($K$6:$K$26,MATCH(G18,$K$6:$K$26,1)))*(LOG10(INDEX($L$6:$L$26,MATCH(G18,$K$6:$K$26,1)+1))-LOG10(INDEX($L$6:$L$26,MATCH(G18,$K$6:$K$26,1))))/(INDEX($K$6:$K$26,MATCH(G18,$K$6:$K$26,1)+1)-INDEX($K$6:$K$26,MATCH(G18,$K$6:$K$26,1)))))</f>
        <v>21279.81938998336</v>
      </c>
      <c r="J18" s="12"/>
      <c r="K18" s="1">
        <v>1.8427</v>
      </c>
      <c r="L18" s="2">
        <v>505859.86839999998</v>
      </c>
      <c r="Q18" s="4">
        <f>K14*L14</f>
        <v>178167.7542734</v>
      </c>
      <c r="S18" s="6"/>
      <c r="U18" s="15"/>
      <c r="AB18" s="13"/>
    </row>
    <row r="19" spans="4:28" x14ac:dyDescent="0.3">
      <c r="D19" s="1">
        <f t="shared" si="3"/>
        <v>14</v>
      </c>
      <c r="E19" s="1">
        <f t="shared" si="0"/>
        <v>6.25E-2</v>
      </c>
      <c r="F19" s="1">
        <f t="shared" si="1"/>
        <v>0.375</v>
      </c>
      <c r="G19" s="1">
        <f t="shared" si="2"/>
        <v>0.21875</v>
      </c>
      <c r="H19" s="28" cm="1">
        <f t="array" ref="H19">IF(OR(G19&lt;$K$6,G19&gt;$K$26),0.1,10^(LOG10(INDEX($L$6:$L$26,MATCH(G19,$K$6:$K$26,1)))+(G19-INDEX($K$6:$K$26,MATCH(G19,$K$6:$K$26,1)))*(LOG10(INDEX($L$6:$L$26,MATCH(G19,$K$6:$K$26,1)+1))-LOG10(INDEX($L$6:$L$26,MATCH(G19,$K$6:$K$26,1))))/(INDEX($K$6:$K$26,MATCH(G19,$K$6:$K$26,1)+1)-INDEX($K$6:$K$26,MATCH(G19,$K$6:$K$26,1)))))</f>
        <v>133934.39236837826</v>
      </c>
      <c r="J19" s="12"/>
      <c r="K19" s="1">
        <v>2.1985000000000001</v>
      </c>
      <c r="L19" s="2">
        <v>90086.548800000004</v>
      </c>
      <c r="Q19" s="4">
        <f>K13*L13</f>
        <v>199.87292099999999</v>
      </c>
      <c r="S19" s="6"/>
      <c r="U19" s="15"/>
      <c r="AB19" s="13"/>
    </row>
    <row r="20" spans="4:28" x14ac:dyDescent="0.3">
      <c r="D20" s="1">
        <f t="shared" si="3"/>
        <v>15</v>
      </c>
      <c r="E20" s="1">
        <f t="shared" si="0"/>
        <v>0.375</v>
      </c>
      <c r="F20" s="1">
        <f t="shared" si="1"/>
        <v>0.6875</v>
      </c>
      <c r="G20" s="1">
        <f t="shared" si="2"/>
        <v>0.53125</v>
      </c>
      <c r="H20" s="28" cm="1">
        <f t="array" ref="H20">IF(OR(G20&lt;$K$6,G20&gt;$K$26),0.1,10^(LOG10(INDEX($L$6:$L$26,MATCH(G20,$K$6:$K$26,1)))+(G20-INDEX($K$6:$K$26,MATCH(G20,$K$6:$K$26,1)))*(LOG10(INDEX($L$6:$L$26,MATCH(G20,$K$6:$K$26,1)+1))-LOG10(INDEX($L$6:$L$26,MATCH(G20,$K$6:$K$26,1))))/(INDEX($K$6:$K$26,MATCH(G20,$K$6:$K$26,1)+1)-INDEX($K$6:$K$26,MATCH(G20,$K$6:$K$26,1)))))</f>
        <v>1423065.7528670055</v>
      </c>
      <c r="J20" s="12"/>
      <c r="K20" s="1">
        <v>2.5543</v>
      </c>
      <c r="L20" s="2">
        <v>32647.798699999999</v>
      </c>
      <c r="Q20" s="4">
        <f>K12*L12</f>
        <v>-4254.9827328000001</v>
      </c>
      <c r="S20" s="6"/>
      <c r="U20" s="15"/>
      <c r="AB20" s="13"/>
    </row>
    <row r="21" spans="4:28" x14ac:dyDescent="0.3">
      <c r="D21" s="1">
        <f t="shared" si="3"/>
        <v>16</v>
      </c>
      <c r="E21" s="1">
        <f t="shared" si="0"/>
        <v>0.6875</v>
      </c>
      <c r="F21" s="1">
        <f t="shared" si="1"/>
        <v>1</v>
      </c>
      <c r="G21" s="1">
        <f t="shared" si="2"/>
        <v>0.84375</v>
      </c>
      <c r="H21" s="28" cm="1">
        <f t="array" ref="H21">IF(OR(G21&lt;$K$6,G21&gt;$K$26),0.1,10^(LOG10(INDEX($L$6:$L$26,MATCH(G21,$K$6:$K$26,1)))+(G21-INDEX($K$6:$K$26,MATCH(G21,$K$6:$K$26,1)))*(LOG10(INDEX($L$6:$L$26,MATCH(G21,$K$6:$K$26,1)+1))-LOG10(INDEX($L$6:$L$26,MATCH(G21,$K$6:$K$26,1))))/(INDEX($K$6:$K$26,MATCH(G21,$K$6:$K$26,1)+1)-INDEX($K$6:$K$26,MATCH(G21,$K$6:$K$26,1)))))</f>
        <v>6624972.4118471807</v>
      </c>
      <c r="J21" s="12"/>
      <c r="K21" s="1">
        <v>2.9287999999999998</v>
      </c>
      <c r="L21" s="2">
        <v>17050.536</v>
      </c>
      <c r="Q21" s="4">
        <f>K11*L11</f>
        <v>-4439.9947514999994</v>
      </c>
      <c r="S21" s="6"/>
      <c r="U21" s="15"/>
      <c r="AB21" s="13"/>
    </row>
    <row r="22" spans="4:28" x14ac:dyDescent="0.3">
      <c r="D22" s="1">
        <f t="shared" si="3"/>
        <v>17</v>
      </c>
      <c r="E22" s="1">
        <f t="shared" si="0"/>
        <v>1</v>
      </c>
      <c r="F22" s="1">
        <f t="shared" si="1"/>
        <v>1.3125</v>
      </c>
      <c r="G22" s="1">
        <f t="shared" si="2"/>
        <v>1.15625</v>
      </c>
      <c r="H22" s="28" cm="1">
        <f t="array" ref="H22">IF(OR(G22&lt;$K$6,G22&gt;$K$26),0.1,10^(LOG10(INDEX($L$6:$L$26,MATCH(G22,$K$6:$K$26,1)))+(G22-INDEX($K$6:$K$26,MATCH(G22,$K$6:$K$26,1)))*(LOG10(INDEX($L$6:$L$26,MATCH(G22,$K$6:$K$26,1)+1))-LOG10(INDEX($L$6:$L$26,MATCH(G22,$K$6:$K$26,1))))/(INDEX($K$6:$K$26,MATCH(G22,$K$6:$K$26,1)+1)-INDEX($K$6:$K$26,MATCH(G22,$K$6:$K$26,1)))))</f>
        <v>6196570.7975333016</v>
      </c>
      <c r="J22" s="12"/>
      <c r="K22" s="1">
        <v>3.2846000000000002</v>
      </c>
      <c r="L22" s="2">
        <v>11132.6741</v>
      </c>
      <c r="Q22" s="4">
        <f>K10*L10</f>
        <v>-2967.3458553</v>
      </c>
      <c r="S22" s="6"/>
      <c r="U22" s="15"/>
      <c r="AB22" s="13"/>
    </row>
    <row r="23" spans="4:28" x14ac:dyDescent="0.3">
      <c r="D23" s="1">
        <f t="shared" si="3"/>
        <v>18</v>
      </c>
      <c r="E23" s="1">
        <f t="shared" si="0"/>
        <v>1.3125</v>
      </c>
      <c r="F23" s="1">
        <f t="shared" si="1"/>
        <v>1.625</v>
      </c>
      <c r="G23" s="1">
        <f t="shared" si="2"/>
        <v>1.46875</v>
      </c>
      <c r="H23" s="28" cm="1">
        <f t="array" ref="H23">IF(OR(G23&lt;$K$6,G23&gt;$K$26),0.1,10^(LOG10(INDEX($L$6:$L$26,MATCH(G23,$K$6:$K$26,1)))+(G23-INDEX($K$6:$K$26,MATCH(G23,$K$6:$K$26,1)))*(LOG10(INDEX($L$6:$L$26,MATCH(G23,$K$6:$K$26,1)+1))-LOG10(INDEX($L$6:$L$26,MATCH(G23,$K$6:$K$26,1))))/(INDEX($K$6:$K$26,MATCH(G23,$K$6:$K$26,1)+1)-INDEX($K$6:$K$26,MATCH(G23,$K$6:$K$26,1)))))</f>
        <v>4268809.1599080963</v>
      </c>
      <c r="J23" s="12"/>
      <c r="K23" s="1">
        <v>3.6779000000000002</v>
      </c>
      <c r="L23" s="2">
        <v>6839.3148000000001</v>
      </c>
      <c r="Q23" s="4">
        <f>K9*L9</f>
        <v>-1262.6556504500002</v>
      </c>
      <c r="S23" s="6"/>
      <c r="U23" s="15"/>
      <c r="AB23" s="13"/>
    </row>
    <row r="24" spans="4:28" x14ac:dyDescent="0.3">
      <c r="D24" s="1">
        <f t="shared" si="3"/>
        <v>19</v>
      </c>
      <c r="E24" s="1">
        <f t="shared" si="0"/>
        <v>1.625</v>
      </c>
      <c r="F24" s="1">
        <f t="shared" si="1"/>
        <v>1.9375</v>
      </c>
      <c r="G24" s="1">
        <f t="shared" si="2"/>
        <v>1.78125</v>
      </c>
      <c r="H24" s="28" cm="1">
        <f t="array" ref="H24">IF(OR(G24&lt;$K$6,G24&gt;$K$26),0.1,10^(LOG10(INDEX($L$6:$L$26,MATCH(G24,$K$6:$K$26,1)))+(G24-INDEX($K$6:$K$26,MATCH(G24,$K$6:$K$26,1)))*(LOG10(INDEX($L$6:$L$26,MATCH(G24,$K$6:$K$26,1)+1))-LOG10(INDEX($L$6:$L$26,MATCH(G24,$K$6:$K$26,1))))/(INDEX($K$6:$K$26,MATCH(G24,$K$6:$K$26,1)+1)-INDEX($K$6:$K$26,MATCH(G24,$K$6:$K$26,1)))))</f>
        <v>728422.61064777104</v>
      </c>
      <c r="J24" s="12"/>
      <c r="K24" s="1">
        <v>4.0712000000000002</v>
      </c>
      <c r="L24" s="2">
        <v>2379.9854999999998</v>
      </c>
      <c r="Q24" s="4">
        <f>K8*L8</f>
        <v>-253.54747786999997</v>
      </c>
      <c r="S24" s="6"/>
      <c r="U24" s="15"/>
      <c r="AB24" s="13"/>
    </row>
    <row r="25" spans="4:28" x14ac:dyDescent="0.3">
      <c r="D25" s="1">
        <f t="shared" si="3"/>
        <v>20</v>
      </c>
      <c r="E25" s="1">
        <f t="shared" si="0"/>
        <v>1.9375</v>
      </c>
      <c r="F25" s="1">
        <f t="shared" si="1"/>
        <v>2.25</v>
      </c>
      <c r="G25" s="1">
        <f t="shared" si="2"/>
        <v>2.09375</v>
      </c>
      <c r="H25" s="28" cm="1">
        <f t="array" ref="H25">IF(OR(G25&lt;$K$6,G25&gt;$K$26),0.1,10^(LOG10(INDEX($L$6:$L$26,MATCH(G25,$K$6:$K$26,1)))+(G25-INDEX($K$6:$K$26,MATCH(G25,$K$6:$K$26,1)))*(LOG10(INDEX($L$6:$L$26,MATCH(G25,$K$6:$K$26,1)+1))-LOG10(INDEX($L$6:$L$26,MATCH(G25,$K$6:$K$26,1))))/(INDEX($K$6:$K$26,MATCH(G25,$K$6:$K$26,1)+1)-INDEX($K$6:$K$26,MATCH(G25,$K$6:$K$26,1)))))</f>
        <v>149719.98756399861</v>
      </c>
      <c r="J25" s="12"/>
      <c r="K25" s="1">
        <v>4.4269999999999996</v>
      </c>
      <c r="L25" s="2">
        <v>141.62289999999999</v>
      </c>
      <c r="Q25" s="4">
        <f>K7*L7</f>
        <v>-23.677834179999998</v>
      </c>
      <c r="S25" s="6"/>
      <c r="U25" s="15"/>
      <c r="AB25" s="13"/>
    </row>
    <row r="26" spans="4:28" x14ac:dyDescent="0.3">
      <c r="D26" s="1">
        <f t="shared" si="3"/>
        <v>21</v>
      </c>
      <c r="E26" s="1">
        <f t="shared" si="0"/>
        <v>2.25</v>
      </c>
      <c r="F26" s="1">
        <f t="shared" si="1"/>
        <v>2.5625</v>
      </c>
      <c r="G26" s="1">
        <f t="shared" si="2"/>
        <v>2.40625</v>
      </c>
      <c r="H26" s="28" cm="1">
        <f t="array" ref="H26">IF(OR(G26&lt;$K$6,G26&gt;$K$26),0.1,10^(LOG10(INDEX($L$6:$L$26,MATCH(G26,$K$6:$K$26,1)))+(G26-INDEX($K$6:$K$26,MATCH(G26,$K$6:$K$26,1)))*(LOG10(INDEX($L$6:$L$26,MATCH(G26,$K$6:$K$26,1)+1))-LOG10(INDEX($L$6:$L$26,MATCH(G26,$K$6:$K$26,1))))/(INDEX($K$6:$K$26,MATCH(G26,$K$6:$K$26,1)+1)-INDEX($K$6:$K$26,MATCH(G26,$K$6:$K$26,1)))))</f>
        <v>49805.270891066604</v>
      </c>
      <c r="J26" s="12"/>
      <c r="K26" s="1">
        <v>4.8014999999999999</v>
      </c>
      <c r="L26" s="2">
        <v>5.2835000000000001</v>
      </c>
      <c r="Q26" s="4">
        <f>K6*L6</f>
        <v>-2.5913556499999997</v>
      </c>
      <c r="S26" s="6"/>
      <c r="U26" s="15"/>
      <c r="AB26" s="13"/>
    </row>
    <row r="27" spans="4:28" x14ac:dyDescent="0.3">
      <c r="D27" s="1">
        <f t="shared" si="3"/>
        <v>22</v>
      </c>
      <c r="E27" s="1">
        <f t="shared" si="0"/>
        <v>2.5625</v>
      </c>
      <c r="F27" s="1">
        <f t="shared" si="1"/>
        <v>2.875</v>
      </c>
      <c r="G27" s="1">
        <f t="shared" si="2"/>
        <v>2.71875</v>
      </c>
      <c r="H27" s="28" cm="1">
        <f t="array" ref="H27">IF(OR(G27&lt;$K$6,G27&gt;$K$26),0.1,10^(LOG10(INDEX($L$6:$L$26,MATCH(G27,$K$6:$K$26,1)))+(G27-INDEX($K$6:$K$26,MATCH(G27,$K$6:$K$26,1)))*(LOG10(INDEX($L$6:$L$26,MATCH(G27,$K$6:$K$26,1)+1))-LOG10(INDEX($L$6:$L$26,MATCH(G27,$K$6:$K$26,1))))/(INDEX($K$6:$K$26,MATCH(G27,$K$6:$K$26,1)+1)-INDEX($K$6:$K$26,MATCH(G27,$K$6:$K$26,1)))))</f>
        <v>24545.47921575599</v>
      </c>
      <c r="J27" s="12"/>
      <c r="O27" s="5"/>
      <c r="P27" s="5"/>
      <c r="AB27" s="13"/>
    </row>
    <row r="28" spans="4:28" x14ac:dyDescent="0.3">
      <c r="D28" s="1">
        <f t="shared" si="3"/>
        <v>23</v>
      </c>
      <c r="E28" s="1">
        <f t="shared" si="0"/>
        <v>2.875</v>
      </c>
      <c r="F28" s="1">
        <f t="shared" si="1"/>
        <v>3.1875</v>
      </c>
      <c r="G28" s="1">
        <f t="shared" si="2"/>
        <v>3.03125</v>
      </c>
      <c r="H28" s="28" cm="1">
        <f t="array" ref="H28">IF(OR(G28&lt;$K$6,G28&gt;$K$26),0.1,10^(LOG10(INDEX($L$6:$L$26,MATCH(G28,$K$6:$K$26,1)))+(G28-INDEX($K$6:$K$26,MATCH(G28,$K$6:$K$26,1)))*(LOG10(INDEX($L$6:$L$26,MATCH(G28,$K$6:$K$26,1)+1))-LOG10(INDEX($L$6:$L$26,MATCH(G28,$K$6:$K$26,1))))/(INDEX($K$6:$K$26,MATCH(G28,$K$6:$K$26,1)+1)-INDEX($K$6:$K$26,MATCH(G28,$K$6:$K$26,1)))))</f>
        <v>15080.95178259328</v>
      </c>
      <c r="J28" s="12"/>
      <c r="O28" s="5"/>
      <c r="P28" s="6"/>
      <c r="S28" s="6"/>
      <c r="AB28" s="13"/>
    </row>
    <row r="29" spans="4:28" x14ac:dyDescent="0.3">
      <c r="D29" s="1">
        <f t="shared" si="3"/>
        <v>24</v>
      </c>
      <c r="E29" s="1">
        <f t="shared" si="0"/>
        <v>3.1875</v>
      </c>
      <c r="F29" s="1">
        <f t="shared" si="1"/>
        <v>3.5</v>
      </c>
      <c r="G29" s="1">
        <f t="shared" si="2"/>
        <v>3.34375</v>
      </c>
      <c r="H29" s="28" cm="1">
        <f t="array" ref="H29">IF(OR(G29&lt;$K$6,G29&gt;$K$26),0.1,10^(LOG10(INDEX($L$6:$L$26,MATCH(G29,$K$6:$K$26,1)))+(G29-INDEX($K$6:$K$26,MATCH(G29,$K$6:$K$26,1)))*(LOG10(INDEX($L$6:$L$26,MATCH(G29,$K$6:$K$26,1)+1))-LOG10(INDEX($L$6:$L$26,MATCH(G29,$K$6:$K$26,1))))/(INDEX($K$6:$K$26,MATCH(G29,$K$6:$K$26,1)+1)-INDEX($K$6:$K$26,MATCH(G29,$K$6:$K$26,1)))))</f>
        <v>10346.133398819569</v>
      </c>
      <c r="J29" s="12"/>
      <c r="AB29" s="13"/>
    </row>
    <row r="30" spans="4:28" x14ac:dyDescent="0.3">
      <c r="D30" s="1">
        <f t="shared" si="3"/>
        <v>25</v>
      </c>
      <c r="E30" s="1">
        <f t="shared" si="0"/>
        <v>3.5</v>
      </c>
      <c r="F30" s="1">
        <f t="shared" si="1"/>
        <v>3.8125</v>
      </c>
      <c r="G30" s="1">
        <f t="shared" si="2"/>
        <v>3.65625</v>
      </c>
      <c r="H30" s="28" cm="1">
        <f t="array" ref="H30">IF(OR(G30&lt;$K$6,G30&gt;$K$26),0.1,10^(LOG10(INDEX($L$6:$L$26,MATCH(G30,$K$6:$K$26,1)))+(G30-INDEX($K$6:$K$26,MATCH(G30,$K$6:$K$26,1)))*(LOG10(INDEX($L$6:$L$26,MATCH(G30,$K$6:$K$26,1)+1))-LOG10(INDEX($L$6:$L$26,MATCH(G30,$K$6:$K$26,1))))/(INDEX($K$6:$K$26,MATCH(G30,$K$6:$K$26,1)+1)-INDEX($K$6:$K$26,MATCH(G30,$K$6:$K$26,1)))))</f>
        <v>7025.2183346788679</v>
      </c>
      <c r="J30" s="12"/>
      <c r="L30" t="s">
        <v>2</v>
      </c>
      <c r="W30" t="s">
        <v>3</v>
      </c>
      <c r="AB30" s="13"/>
    </row>
    <row r="31" spans="4:28" x14ac:dyDescent="0.3">
      <c r="D31" s="1">
        <f t="shared" si="3"/>
        <v>26</v>
      </c>
      <c r="E31" s="1">
        <f t="shared" si="0"/>
        <v>3.8125</v>
      </c>
      <c r="F31" s="1">
        <f t="shared" si="1"/>
        <v>4.125</v>
      </c>
      <c r="G31" s="1">
        <f t="shared" si="2"/>
        <v>3.96875</v>
      </c>
      <c r="H31" s="28" cm="1">
        <f t="array" ref="H31">IF(OR(G31&lt;$K$6,G31&gt;$K$26),0.1,10^(LOG10(INDEX($L$6:$L$26,MATCH(G31,$K$6:$K$26,1)))+(G31-INDEX($K$6:$K$26,MATCH(G31,$K$6:$K$26,1)))*(LOG10(INDEX($L$6:$L$26,MATCH(G31,$K$6:$K$26,1)+1))-LOG10(INDEX($L$6:$L$26,MATCH(G31,$K$6:$K$26,1))))/(INDEX($K$6:$K$26,MATCH(G31,$K$6:$K$26,1)+1)-INDEX($K$6:$K$26,MATCH(G31,$K$6:$K$26,1)))))</f>
        <v>3133.2284668999573</v>
      </c>
      <c r="J31" s="12"/>
      <c r="AB31" s="13"/>
    </row>
    <row r="32" spans="4:28" x14ac:dyDescent="0.3">
      <c r="D32" s="1">
        <f t="shared" si="3"/>
        <v>27</v>
      </c>
      <c r="E32" s="1">
        <f t="shared" si="0"/>
        <v>4.125</v>
      </c>
      <c r="F32" s="1">
        <f t="shared" si="1"/>
        <v>4.4375</v>
      </c>
      <c r="G32" s="1">
        <f t="shared" si="2"/>
        <v>4.28125</v>
      </c>
      <c r="H32" s="28" cm="1">
        <f t="array" ref="H32">IF(OR(G32&lt;$K$6,G32&gt;$K$26),0.1,10^(LOG10(INDEX($L$6:$L$26,MATCH(G32,$K$6:$K$26,1)))+(G32-INDEX($K$6:$K$26,MATCH(G32,$K$6:$K$26,1)))*(LOG10(INDEX($L$6:$L$26,MATCH(G32,$K$6:$K$26,1)+1))-LOG10(INDEX($L$6:$L$26,MATCH(G32,$K$6:$K$26,1))))/(INDEX($K$6:$K$26,MATCH(G32,$K$6:$K$26,1)+1)-INDEX($K$6:$K$26,MATCH(G32,$K$6:$K$26,1)))))</f>
        <v>449.90763888037839</v>
      </c>
      <c r="J32" s="12"/>
      <c r="AB32" s="13"/>
    </row>
    <row r="33" spans="4:28" x14ac:dyDescent="0.3">
      <c r="D33" s="1">
        <f t="shared" si="3"/>
        <v>28</v>
      </c>
      <c r="E33" s="1">
        <f t="shared" si="0"/>
        <v>4.4375</v>
      </c>
      <c r="F33" s="1">
        <f t="shared" si="1"/>
        <v>4.75</v>
      </c>
      <c r="G33" s="1">
        <f t="shared" si="2"/>
        <v>4.59375</v>
      </c>
      <c r="H33" s="28" cm="1">
        <f t="array" ref="H33">IF(OR(G33&lt;$K$6,G33&gt;$K$26),0.1,10^(LOG10(INDEX($L$6:$L$26,MATCH(G33,$K$6:$K$26,1)))+(G33-INDEX($K$6:$K$26,MATCH(G33,$K$6:$K$26,1)))*(LOG10(INDEX($L$6:$L$26,MATCH(G33,$K$6:$K$26,1)+1))-LOG10(INDEX($L$6:$L$26,MATCH(G33,$K$6:$K$26,1))))/(INDEX($K$6:$K$26,MATCH(G33,$K$6:$K$26,1)+1)-INDEX($K$6:$K$26,MATCH(G33,$K$6:$K$26,1)))))</f>
        <v>32.749706636603719</v>
      </c>
      <c r="J33" s="12"/>
      <c r="AB33" s="13"/>
    </row>
    <row r="34" spans="4:28" x14ac:dyDescent="0.3">
      <c r="D34" s="1">
        <f>D33+1</f>
        <v>29</v>
      </c>
      <c r="E34" s="1">
        <f t="shared" si="0"/>
        <v>4.75</v>
      </c>
      <c r="F34" s="1">
        <f t="shared" si="1"/>
        <v>5.0625</v>
      </c>
      <c r="G34" s="1">
        <f t="shared" si="2"/>
        <v>4.90625</v>
      </c>
      <c r="H34" s="28" cm="1">
        <f t="array" ref="H34">IF(OR(G34&lt;$K$6,G34&gt;$K$26),0.1,10^(LOG10(INDEX($L$6:$L$26,MATCH(G34,$K$6:$K$26,1)))+(G34-INDEX($K$6:$K$26,MATCH(G34,$K$6:$K$26,1)))*(LOG10(INDEX($L$6:$L$26,MATCH(G34,$K$6:$K$26,1)+1))-LOG10(INDEX($L$6:$L$26,MATCH(G34,$K$6:$K$26,1))))/(INDEX($K$6:$K$26,MATCH(G34,$K$6:$K$26,1)+1)-INDEX($K$6:$K$26,MATCH(G34,$K$6:$K$26,1)))))</f>
        <v>0.1</v>
      </c>
      <c r="J34" s="12"/>
      <c r="AB34" s="13"/>
    </row>
    <row r="35" spans="4:28" x14ac:dyDescent="0.3">
      <c r="D35" s="1">
        <f t="shared" ref="D35:D36" si="4">D34+1</f>
        <v>30</v>
      </c>
      <c r="E35" s="1">
        <f t="shared" si="0"/>
        <v>5.0625</v>
      </c>
      <c r="F35" s="1">
        <f t="shared" si="1"/>
        <v>5.375</v>
      </c>
      <c r="G35" s="1">
        <f t="shared" si="2"/>
        <v>5.21875</v>
      </c>
      <c r="H35" s="28" cm="1">
        <f t="array" ref="H35">IF(OR(G35&lt;$K$6,G35&gt;$K$26),0.1,10^(LOG10(INDEX($L$6:$L$26,MATCH(G35,$K$6:$K$26,1)))+(G35-INDEX($K$6:$K$26,MATCH(G35,$K$6:$K$26,1)))*(LOG10(INDEX($L$6:$L$26,MATCH(G35,$K$6:$K$26,1)+1))-LOG10(INDEX($L$6:$L$26,MATCH(G35,$K$6:$K$26,1))))/(INDEX($K$6:$K$26,MATCH(G35,$K$6:$K$26,1)+1)-INDEX($K$6:$K$26,MATCH(G35,$K$6:$K$26,1)))))</f>
        <v>0.1</v>
      </c>
      <c r="J35" s="12"/>
      <c r="AB35" s="13"/>
    </row>
    <row r="36" spans="4:28" x14ac:dyDescent="0.3">
      <c r="D36" s="1">
        <f t="shared" si="4"/>
        <v>31</v>
      </c>
      <c r="E36" s="1">
        <f t="shared" si="0"/>
        <v>5.375</v>
      </c>
      <c r="F36" s="1">
        <f t="shared" si="1"/>
        <v>5.6875</v>
      </c>
      <c r="G36" s="1">
        <f t="shared" si="2"/>
        <v>5.53125</v>
      </c>
      <c r="H36" s="28" cm="1">
        <f t="array" ref="H36">IF(OR(G36&lt;$K$6,G36&gt;$K$26),0.1,10^(LOG10(INDEX($L$6:$L$26,MATCH(G36,$K$6:$K$26,1)))+(G36-INDEX($K$6:$K$26,MATCH(G36,$K$6:$K$26,1)))*(LOG10(INDEX($L$6:$L$26,MATCH(G36,$K$6:$K$26,1)+1))-LOG10(INDEX($L$6:$L$26,MATCH(G36,$K$6:$K$26,1))))/(INDEX($K$6:$K$26,MATCH(G36,$K$6:$K$26,1)+1)-INDEX($K$6:$K$26,MATCH(G36,$K$6:$K$26,1)))))</f>
        <v>0.1</v>
      </c>
      <c r="J36" s="12"/>
      <c r="AB36" s="13"/>
    </row>
    <row r="37" spans="4:28" x14ac:dyDescent="0.3">
      <c r="D37" s="1">
        <f>D36+1</f>
        <v>32</v>
      </c>
      <c r="E37" s="1">
        <f t="shared" si="0"/>
        <v>5.6875</v>
      </c>
      <c r="F37" s="1">
        <f t="shared" si="1"/>
        <v>6</v>
      </c>
      <c r="G37" s="1">
        <f t="shared" si="2"/>
        <v>5.84375</v>
      </c>
      <c r="H37" s="28" cm="1">
        <f t="array" ref="H37">IF(OR(G37&lt;$K$6,G37&gt;$K$26),0.1,10^(LOG10(INDEX($L$6:$L$26,MATCH(G37,$K$6:$K$26,1)))+(G37-INDEX($K$6:$K$26,MATCH(G37,$K$6:$K$26,1)))*(LOG10(INDEX($L$6:$L$26,MATCH(G37,$K$6:$K$26,1)+1))-LOG10(INDEX($L$6:$L$26,MATCH(G37,$K$6:$K$26,1))))/(INDEX($K$6:$K$26,MATCH(G37,$K$6:$K$26,1)+1)-INDEX($K$6:$K$26,MATCH(G37,$K$6:$K$26,1)))))</f>
        <v>0.1</v>
      </c>
      <c r="J37" s="12"/>
      <c r="AB37" s="13"/>
    </row>
    <row r="38" spans="4:28" x14ac:dyDescent="0.3">
      <c r="J38" s="12"/>
      <c r="AB38" s="13"/>
    </row>
    <row r="39" spans="4:28" x14ac:dyDescent="0.3">
      <c r="J39" s="12"/>
      <c r="AB39" s="13"/>
    </row>
    <row r="40" spans="4:28" x14ac:dyDescent="0.3">
      <c r="J40" s="12"/>
      <c r="AB40" s="13"/>
    </row>
    <row r="41" spans="4:28" x14ac:dyDescent="0.3">
      <c r="J41" s="12"/>
      <c r="AB41" s="13"/>
    </row>
    <row r="42" spans="4:28" x14ac:dyDescent="0.3">
      <c r="J42" s="12"/>
      <c r="AB42" s="13"/>
    </row>
    <row r="43" spans="4:28" x14ac:dyDescent="0.3">
      <c r="J43" s="12"/>
      <c r="AB43" s="13"/>
    </row>
    <row r="44" spans="4:28" x14ac:dyDescent="0.3">
      <c r="J44" s="12"/>
      <c r="AB44" s="13"/>
    </row>
    <row r="45" spans="4:28" x14ac:dyDescent="0.3">
      <c r="J45" s="12"/>
      <c r="AB45" s="13"/>
    </row>
    <row r="46" spans="4:28" x14ac:dyDescent="0.3">
      <c r="J46" s="12"/>
      <c r="AB46" s="13"/>
    </row>
    <row r="47" spans="4:28" x14ac:dyDescent="0.3">
      <c r="J47" s="12"/>
      <c r="AB47" s="13"/>
    </row>
    <row r="48" spans="4:28" x14ac:dyDescent="0.3">
      <c r="J48" s="12"/>
      <c r="AB48" s="13"/>
    </row>
    <row r="49" spans="10:28" x14ac:dyDescent="0.3">
      <c r="J49" s="12"/>
      <c r="AB49" s="13"/>
    </row>
    <row r="50" spans="10:28" x14ac:dyDescent="0.3">
      <c r="J50" s="12"/>
      <c r="AB50" s="13"/>
    </row>
    <row r="51" spans="10:28" x14ac:dyDescent="0.3">
      <c r="J51" s="12"/>
      <c r="AB51" s="13"/>
    </row>
    <row r="52" spans="10:28" x14ac:dyDescent="0.3">
      <c r="J52" s="12"/>
      <c r="AB52" s="13"/>
    </row>
    <row r="53" spans="10:28" x14ac:dyDescent="0.3">
      <c r="J53" s="12"/>
      <c r="AB53" s="13"/>
    </row>
    <row r="54" spans="10:28" x14ac:dyDescent="0.3">
      <c r="J54" s="12"/>
      <c r="AB54" s="13"/>
    </row>
    <row r="55" spans="10:28" x14ac:dyDescent="0.3">
      <c r="J55" s="12"/>
      <c r="AB55" s="13"/>
    </row>
    <row r="56" spans="10:28" x14ac:dyDescent="0.3">
      <c r="J56" s="12"/>
      <c r="AB56" s="13"/>
    </row>
    <row r="57" spans="10:28" x14ac:dyDescent="0.3">
      <c r="J57" s="12"/>
      <c r="AB57" s="13"/>
    </row>
    <row r="58" spans="10:28" x14ac:dyDescent="0.3">
      <c r="J58" s="12"/>
      <c r="AB58" s="13"/>
    </row>
    <row r="59" spans="10:28" x14ac:dyDescent="0.3">
      <c r="J59" s="12"/>
      <c r="AB59" s="13"/>
    </row>
    <row r="60" spans="10:28" x14ac:dyDescent="0.3">
      <c r="J60" s="12"/>
      <c r="AB60" s="13"/>
    </row>
    <row r="61" spans="10:28" x14ac:dyDescent="0.3">
      <c r="J61" s="12"/>
      <c r="AB61" s="13"/>
    </row>
    <row r="62" spans="10:28" x14ac:dyDescent="0.3">
      <c r="J62" s="12"/>
      <c r="AB62" s="13"/>
    </row>
    <row r="63" spans="10:28" x14ac:dyDescent="0.3">
      <c r="J63" s="12"/>
      <c r="AB63" s="13"/>
    </row>
    <row r="64" spans="10:28" x14ac:dyDescent="0.3">
      <c r="J64" s="12"/>
      <c r="AB64" s="13"/>
    </row>
    <row r="65" spans="10:28" x14ac:dyDescent="0.3">
      <c r="J65" s="12"/>
      <c r="AB65" s="13"/>
    </row>
    <row r="66" spans="10:28" x14ac:dyDescent="0.3">
      <c r="J66" s="12"/>
      <c r="AB66" s="13"/>
    </row>
    <row r="67" spans="10:28" x14ac:dyDescent="0.3">
      <c r="J67" s="12"/>
      <c r="AB67" s="13"/>
    </row>
    <row r="68" spans="10:28" x14ac:dyDescent="0.3">
      <c r="J68" s="12"/>
      <c r="AB68" s="13"/>
    </row>
    <row r="69" spans="10:28" x14ac:dyDescent="0.3">
      <c r="J69" s="12"/>
      <c r="AB69" s="13"/>
    </row>
    <row r="70" spans="10:28" x14ac:dyDescent="0.3">
      <c r="J70" s="12"/>
      <c r="AB70" s="13"/>
    </row>
    <row r="71" spans="10:28" x14ac:dyDescent="0.3">
      <c r="J71" s="12"/>
      <c r="AB71" s="13"/>
    </row>
    <row r="72" spans="10:28" x14ac:dyDescent="0.3">
      <c r="J72" s="12"/>
      <c r="AB72" s="13"/>
    </row>
    <row r="73" spans="10:28" ht="15" thickBot="1" x14ac:dyDescent="0.35"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8"/>
    </row>
  </sheetData>
  <mergeCells count="8">
    <mergeCell ref="AA4:AA7"/>
    <mergeCell ref="S2:V2"/>
    <mergeCell ref="D3:D5"/>
    <mergeCell ref="E3:E5"/>
    <mergeCell ref="F3:F5"/>
    <mergeCell ref="G3:G5"/>
    <mergeCell ref="H3:H5"/>
    <mergeCell ref="K3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Life Ext</vt:lpstr>
      <vt:lpstr>JANUS 260625</vt:lpstr>
      <vt:lpstr>JANUS NEXT 1</vt:lpstr>
      <vt:lpstr>JANUS NEXT 2</vt:lpstr>
      <vt:lpstr>JANUS NEXT 3</vt:lpstr>
      <vt:lpstr>Kossira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 Deroui</dc:creator>
  <cp:lastModifiedBy>Jl Deroui</cp:lastModifiedBy>
  <dcterms:created xsi:type="dcterms:W3CDTF">2025-04-14T23:03:26Z</dcterms:created>
  <dcterms:modified xsi:type="dcterms:W3CDTF">2026-06-03T06:26:36Z</dcterms:modified>
</cp:coreProperties>
</file>